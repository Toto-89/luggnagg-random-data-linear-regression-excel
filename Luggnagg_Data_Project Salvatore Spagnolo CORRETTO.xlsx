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2584E46C-3472-4ACD-BC8E-B3D515A78DD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arameters" sheetId="1" r:id="rId1"/>
    <sheet name="Data" sheetId="2" r:id="rId2"/>
    <sheet name="Sample" sheetId="3" r:id="rId3"/>
    <sheet name="Statistical Insight" sheetId="4" r:id="rId4"/>
    <sheet name="(Un)correlated Variables" sheetId="5" r:id="rId5"/>
    <sheet name="Linear Regressio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9" i="4"/>
  <c r="B8" i="4"/>
  <c r="B6" i="4"/>
  <c r="G2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A2" i="6"/>
  <c r="B2" i="4"/>
  <c r="C2" i="3"/>
  <c r="B2" i="3"/>
  <c r="A2" i="3"/>
  <c r="B5" i="4"/>
  <c r="I2" i="6"/>
  <c r="J1" i="6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A251" i="3" l="1"/>
  <c r="A251" i="6"/>
  <c r="A250" i="3"/>
  <c r="A250" i="6"/>
  <c r="A249" i="3"/>
  <c r="A249" i="6"/>
  <c r="A248" i="3"/>
  <c r="A248" i="6"/>
  <c r="A247" i="3"/>
  <c r="A247" i="6"/>
  <c r="A246" i="3"/>
  <c r="A246" i="6"/>
  <c r="A245" i="3"/>
  <c r="A245" i="6"/>
  <c r="A244" i="3"/>
  <c r="A244" i="6"/>
  <c r="A243" i="3"/>
  <c r="A243" i="6"/>
  <c r="A242" i="3"/>
  <c r="A242" i="6"/>
  <c r="A241" i="3"/>
  <c r="A241" i="6"/>
  <c r="A240" i="3"/>
  <c r="A240" i="6"/>
  <c r="A239" i="3"/>
  <c r="A239" i="6"/>
  <c r="A238" i="3"/>
  <c r="A238" i="6"/>
  <c r="A237" i="3"/>
  <c r="A237" i="6"/>
  <c r="A236" i="3"/>
  <c r="A236" i="6"/>
  <c r="A235" i="3"/>
  <c r="A235" i="6"/>
  <c r="A234" i="3"/>
  <c r="A234" i="6"/>
  <c r="A233" i="3"/>
  <c r="A233" i="6"/>
  <c r="A232" i="3"/>
  <c r="A232" i="6"/>
  <c r="A231" i="3"/>
  <c r="A231" i="6"/>
  <c r="A230" i="3"/>
  <c r="A230" i="6"/>
  <c r="A229" i="3"/>
  <c r="A229" i="6"/>
  <c r="A228" i="3"/>
  <c r="A228" i="6"/>
  <c r="A227" i="3"/>
  <c r="A227" i="6"/>
  <c r="A226" i="3"/>
  <c r="A226" i="6"/>
  <c r="A225" i="3"/>
  <c r="A225" i="6"/>
  <c r="A224" i="3"/>
  <c r="A224" i="6"/>
  <c r="A223" i="3"/>
  <c r="A223" i="6"/>
  <c r="A222" i="3"/>
  <c r="A222" i="6"/>
  <c r="A221" i="3"/>
  <c r="A221" i="6"/>
  <c r="A220" i="3"/>
  <c r="A220" i="6"/>
  <c r="A219" i="3"/>
  <c r="A219" i="6"/>
  <c r="A218" i="3"/>
  <c r="A218" i="6"/>
  <c r="A217" i="3"/>
  <c r="A217" i="6"/>
  <c r="A216" i="3"/>
  <c r="A216" i="6"/>
  <c r="A215" i="3"/>
  <c r="A215" i="6"/>
  <c r="A214" i="3"/>
  <c r="A214" i="6"/>
  <c r="A213" i="3"/>
  <c r="A213" i="6"/>
  <c r="A212" i="3"/>
  <c r="A212" i="6"/>
  <c r="A211" i="3"/>
  <c r="A211" i="6"/>
  <c r="A210" i="3"/>
  <c r="A210" i="6"/>
  <c r="A209" i="3"/>
  <c r="A209" i="6"/>
  <c r="A208" i="3"/>
  <c r="A208" i="6"/>
  <c r="A207" i="3"/>
  <c r="A207" i="6"/>
  <c r="A206" i="3"/>
  <c r="A206" i="6"/>
  <c r="A205" i="3"/>
  <c r="A205" i="6"/>
  <c r="A204" i="3"/>
  <c r="A204" i="6"/>
  <c r="A203" i="3"/>
  <c r="A203" i="6"/>
  <c r="A202" i="3"/>
  <c r="A202" i="6"/>
  <c r="A201" i="3"/>
  <c r="A201" i="6"/>
  <c r="A200" i="3"/>
  <c r="A200" i="6"/>
  <c r="A199" i="3"/>
  <c r="A199" i="6"/>
  <c r="A198" i="3"/>
  <c r="A198" i="6"/>
  <c r="A197" i="3"/>
  <c r="A197" i="6"/>
  <c r="A196" i="3"/>
  <c r="A196" i="6"/>
  <c r="A195" i="3"/>
  <c r="A195" i="6"/>
  <c r="A194" i="3"/>
  <c r="A194" i="6"/>
  <c r="A193" i="3"/>
  <c r="A193" i="6"/>
  <c r="A192" i="3"/>
  <c r="A192" i="6"/>
  <c r="A191" i="3"/>
  <c r="A191" i="6"/>
  <c r="A190" i="3"/>
  <c r="A190" i="6"/>
  <c r="A189" i="3"/>
  <c r="A189" i="6"/>
  <c r="A188" i="3"/>
  <c r="A188" i="6"/>
  <c r="A187" i="3"/>
  <c r="A187" i="6"/>
  <c r="A186" i="3"/>
  <c r="A186" i="6"/>
  <c r="A185" i="3"/>
  <c r="A185" i="6"/>
  <c r="A184" i="3"/>
  <c r="A184" i="6"/>
  <c r="A183" i="3"/>
  <c r="A183" i="6"/>
  <c r="A182" i="3"/>
  <c r="A182" i="6"/>
  <c r="A181" i="3"/>
  <c r="A181" i="6"/>
  <c r="A180" i="3"/>
  <c r="A180" i="6"/>
  <c r="A179" i="3"/>
  <c r="A179" i="6"/>
  <c r="A178" i="3"/>
  <c r="A178" i="6"/>
  <c r="A177" i="3"/>
  <c r="A177" i="6"/>
  <c r="A176" i="3"/>
  <c r="A176" i="6"/>
  <c r="A175" i="3"/>
  <c r="A175" i="6"/>
  <c r="A174" i="3"/>
  <c r="A174" i="6"/>
  <c r="A173" i="3"/>
  <c r="A173" i="6"/>
  <c r="A172" i="3"/>
  <c r="A172" i="6"/>
  <c r="A171" i="3"/>
  <c r="A171" i="6"/>
  <c r="A170" i="3"/>
  <c r="A170" i="6"/>
  <c r="A169" i="3"/>
  <c r="A169" i="6"/>
  <c r="A168" i="3"/>
  <c r="A168" i="6"/>
  <c r="A167" i="3"/>
  <c r="A167" i="6"/>
  <c r="A166" i="3"/>
  <c r="A166" i="6"/>
  <c r="A165" i="3"/>
  <c r="A165" i="6"/>
  <c r="A164" i="3"/>
  <c r="A164" i="6"/>
  <c r="A163" i="3"/>
  <c r="A163" i="6"/>
  <c r="A162" i="3"/>
  <c r="A162" i="6"/>
  <c r="A161" i="3"/>
  <c r="A161" i="6"/>
  <c r="A160" i="3"/>
  <c r="A160" i="6"/>
  <c r="A159" i="3"/>
  <c r="A159" i="6"/>
  <c r="A158" i="3"/>
  <c r="A158" i="6"/>
  <c r="A157" i="3"/>
  <c r="A157" i="6"/>
  <c r="A156" i="3"/>
  <c r="A156" i="6"/>
  <c r="A155" i="3"/>
  <c r="A155" i="6"/>
  <c r="A154" i="3"/>
  <c r="A154" i="6"/>
  <c r="A153" i="3"/>
  <c r="A153" i="6"/>
  <c r="A152" i="3"/>
  <c r="A152" i="6"/>
  <c r="A151" i="3"/>
  <c r="A151" i="6"/>
  <c r="A150" i="3"/>
  <c r="A150" i="6"/>
  <c r="A149" i="3"/>
  <c r="A149" i="6"/>
  <c r="A148" i="3"/>
  <c r="A148" i="6"/>
  <c r="A147" i="3"/>
  <c r="A147" i="6"/>
  <c r="A146" i="3"/>
  <c r="A146" i="6"/>
  <c r="A145" i="3"/>
  <c r="A145" i="6"/>
  <c r="A144" i="3"/>
  <c r="A144" i="6"/>
  <c r="A143" i="3"/>
  <c r="A143" i="6"/>
  <c r="A142" i="3"/>
  <c r="A142" i="6"/>
  <c r="A141" i="3"/>
  <c r="A141" i="6"/>
  <c r="A140" i="3"/>
  <c r="A140" i="6"/>
  <c r="A139" i="3"/>
  <c r="A139" i="6"/>
  <c r="A138" i="3"/>
  <c r="A138" i="6"/>
  <c r="A137" i="3"/>
  <c r="A137" i="6"/>
  <c r="A136" i="3"/>
  <c r="A136" i="6"/>
  <c r="A135" i="3"/>
  <c r="A135" i="6"/>
  <c r="A134" i="3"/>
  <c r="A134" i="6"/>
  <c r="A133" i="3"/>
  <c r="A133" i="6"/>
  <c r="A132" i="3"/>
  <c r="A132" i="6"/>
  <c r="A131" i="3"/>
  <c r="A131" i="6"/>
  <c r="A130" i="3"/>
  <c r="A130" i="6"/>
  <c r="A129" i="3"/>
  <c r="A129" i="6"/>
  <c r="A128" i="3"/>
  <c r="A128" i="6"/>
  <c r="A127" i="3"/>
  <c r="A127" i="6"/>
  <c r="A126" i="3"/>
  <c r="A126" i="6"/>
  <c r="A125" i="3"/>
  <c r="A125" i="6"/>
  <c r="A124" i="3"/>
  <c r="A124" i="6"/>
  <c r="A123" i="3"/>
  <c r="A123" i="6"/>
  <c r="A122" i="3"/>
  <c r="A122" i="6"/>
  <c r="A121" i="3"/>
  <c r="A121" i="6"/>
  <c r="A120" i="3"/>
  <c r="A120" i="6"/>
  <c r="A119" i="3"/>
  <c r="A119" i="6"/>
  <c r="A118" i="3"/>
  <c r="A118" i="6"/>
  <c r="A117" i="3"/>
  <c r="A117" i="6"/>
  <c r="A116" i="3"/>
  <c r="A116" i="6"/>
  <c r="A115" i="3"/>
  <c r="A115" i="6"/>
  <c r="A114" i="3"/>
  <c r="A114" i="6"/>
  <c r="A113" i="3"/>
  <c r="A113" i="6"/>
  <c r="A112" i="3"/>
  <c r="A112" i="6"/>
  <c r="A111" i="3"/>
  <c r="A111" i="6"/>
  <c r="A110" i="3"/>
  <c r="A110" i="6"/>
  <c r="A109" i="3"/>
  <c r="A109" i="6"/>
  <c r="A108" i="3"/>
  <c r="A108" i="6"/>
  <c r="A107" i="3"/>
  <c r="A107" i="6"/>
  <c r="A106" i="3"/>
  <c r="A106" i="6"/>
  <c r="A105" i="3"/>
  <c r="A105" i="6"/>
  <c r="A104" i="3"/>
  <c r="A104" i="6"/>
  <c r="A103" i="3"/>
  <c r="A103" i="6"/>
  <c r="A102" i="3"/>
  <c r="A102" i="6"/>
  <c r="A101" i="3"/>
  <c r="A101" i="6"/>
  <c r="A100" i="3"/>
  <c r="A100" i="6"/>
  <c r="A99" i="3"/>
  <c r="A99" i="6"/>
  <c r="A98" i="3"/>
  <c r="A98" i="6"/>
  <c r="A97" i="3"/>
  <c r="A97" i="6"/>
  <c r="A96" i="3"/>
  <c r="A96" i="6"/>
  <c r="A95" i="3"/>
  <c r="A95" i="6"/>
  <c r="A94" i="3"/>
  <c r="A94" i="6"/>
  <c r="A93" i="3"/>
  <c r="A93" i="6"/>
  <c r="A92" i="3"/>
  <c r="A92" i="6"/>
  <c r="A91" i="3"/>
  <c r="A91" i="6"/>
  <c r="A90" i="3"/>
  <c r="A90" i="6"/>
  <c r="A89" i="3"/>
  <c r="A89" i="6"/>
  <c r="A88" i="3"/>
  <c r="A88" i="6"/>
  <c r="A87" i="3"/>
  <c r="A87" i="6"/>
  <c r="A86" i="3"/>
  <c r="A86" i="6"/>
  <c r="A85" i="3"/>
  <c r="A85" i="6"/>
  <c r="A84" i="3"/>
  <c r="A84" i="6"/>
  <c r="A83" i="3"/>
  <c r="A83" i="6"/>
  <c r="A82" i="3"/>
  <c r="A82" i="6"/>
  <c r="A81" i="3"/>
  <c r="A81" i="6"/>
  <c r="A80" i="3"/>
  <c r="A80" i="6"/>
  <c r="A79" i="3"/>
  <c r="A79" i="6"/>
  <c r="A78" i="3"/>
  <c r="A78" i="6"/>
  <c r="A77" i="3"/>
  <c r="A77" i="6"/>
  <c r="A76" i="3"/>
  <c r="A76" i="6"/>
  <c r="A75" i="3"/>
  <c r="A75" i="6"/>
  <c r="A74" i="3"/>
  <c r="A74" i="6"/>
  <c r="A73" i="3"/>
  <c r="A73" i="6"/>
  <c r="A72" i="3"/>
  <c r="A72" i="6"/>
  <c r="A71" i="3"/>
  <c r="A71" i="6"/>
  <c r="A70" i="3"/>
  <c r="A70" i="6"/>
  <c r="A69" i="3"/>
  <c r="A69" i="6"/>
  <c r="A68" i="3"/>
  <c r="A68" i="6"/>
  <c r="A67" i="3"/>
  <c r="A67" i="6"/>
  <c r="A66" i="3"/>
  <c r="A66" i="6"/>
  <c r="A65" i="3"/>
  <c r="A65" i="6"/>
  <c r="A64" i="3"/>
  <c r="A64" i="6"/>
  <c r="A63" i="3"/>
  <c r="A63" i="6"/>
  <c r="A62" i="3"/>
  <c r="A62" i="6"/>
  <c r="A61" i="3"/>
  <c r="A61" i="6"/>
  <c r="A60" i="3"/>
  <c r="A60" i="6"/>
  <c r="A59" i="3"/>
  <c r="A59" i="6"/>
  <c r="A58" i="3"/>
  <c r="A58" i="6"/>
  <c r="A57" i="3"/>
  <c r="A57" i="6"/>
  <c r="A56" i="3"/>
  <c r="A56" i="6"/>
  <c r="A55" i="3"/>
  <c r="A55" i="6"/>
  <c r="A54" i="3"/>
  <c r="A54" i="6"/>
  <c r="A53" i="3"/>
  <c r="A53" i="6"/>
  <c r="A52" i="3"/>
  <c r="A52" i="6"/>
  <c r="A51" i="3"/>
  <c r="A51" i="6"/>
  <c r="A50" i="3"/>
  <c r="A50" i="6"/>
  <c r="A49" i="3"/>
  <c r="A49" i="6"/>
  <c r="A48" i="3"/>
  <c r="A48" i="6"/>
  <c r="A47" i="3"/>
  <c r="A47" i="6"/>
  <c r="A46" i="3"/>
  <c r="A46" i="6"/>
  <c r="A45" i="3"/>
  <c r="A45" i="6"/>
  <c r="A44" i="3"/>
  <c r="A44" i="6"/>
  <c r="A43" i="3"/>
  <c r="A43" i="6"/>
  <c r="A42" i="3"/>
  <c r="A42" i="6"/>
  <c r="A41" i="3"/>
  <c r="A41" i="6"/>
  <c r="A40" i="3"/>
  <c r="A40" i="6"/>
  <c r="A39" i="3"/>
  <c r="A39" i="6"/>
  <c r="A38" i="3"/>
  <c r="A38" i="6"/>
  <c r="A37" i="3"/>
  <c r="A37" i="6"/>
  <c r="A36" i="3"/>
  <c r="A36" i="6"/>
  <c r="A35" i="3"/>
  <c r="A35" i="6"/>
  <c r="A34" i="3"/>
  <c r="A34" i="6"/>
  <c r="A33" i="3"/>
  <c r="A33" i="6"/>
  <c r="A32" i="3"/>
  <c r="A32" i="6"/>
  <c r="A31" i="3"/>
  <c r="A31" i="6"/>
  <c r="A30" i="3"/>
  <c r="A30" i="6"/>
  <c r="A29" i="3"/>
  <c r="A29" i="6"/>
  <c r="A28" i="3"/>
  <c r="A28" i="6"/>
  <c r="A27" i="3"/>
  <c r="A27" i="6"/>
  <c r="A26" i="3"/>
  <c r="A26" i="6"/>
  <c r="A25" i="3"/>
  <c r="A25" i="6"/>
  <c r="A24" i="3"/>
  <c r="A24" i="6"/>
  <c r="A23" i="3"/>
  <c r="A23" i="6"/>
  <c r="A22" i="3"/>
  <c r="A22" i="6"/>
  <c r="A21" i="3"/>
  <c r="A21" i="6"/>
  <c r="A20" i="3"/>
  <c r="A20" i="6"/>
  <c r="A19" i="3"/>
  <c r="A19" i="6"/>
  <c r="A18" i="3"/>
  <c r="A18" i="6"/>
  <c r="A17" i="3"/>
  <c r="A17" i="6"/>
  <c r="A16" i="3"/>
  <c r="A16" i="6"/>
  <c r="A15" i="3"/>
  <c r="A15" i="6"/>
  <c r="A14" i="3"/>
  <c r="A14" i="6"/>
  <c r="A13" i="3"/>
  <c r="A13" i="6"/>
  <c r="A12" i="3"/>
  <c r="A12" i="6"/>
  <c r="A11" i="3"/>
  <c r="A11" i="6"/>
  <c r="A10" i="3"/>
  <c r="A10" i="6"/>
  <c r="A9" i="3"/>
  <c r="A9" i="6"/>
  <c r="A8" i="3"/>
  <c r="A8" i="6"/>
  <c r="A7" i="3"/>
  <c r="A7" i="6"/>
  <c r="A6" i="3"/>
  <c r="A6" i="6"/>
  <c r="A5" i="3"/>
  <c r="A5" i="6"/>
  <c r="A4" i="3"/>
  <c r="A4" i="6"/>
  <c r="A3" i="3"/>
  <c r="A3" i="6"/>
  <c r="C230" i="3"/>
  <c r="C35" i="3"/>
  <c r="C22" i="3"/>
  <c r="C10" i="3"/>
  <c r="C157" i="3"/>
  <c r="C32" i="3"/>
  <c r="A6" i="5" s="1"/>
  <c r="C178" i="3"/>
  <c r="C172" i="3"/>
  <c r="A38" i="5" s="1"/>
  <c r="C116" i="3"/>
  <c r="A21" i="5" s="1"/>
  <c r="C92" i="3"/>
  <c r="C54" i="3"/>
  <c r="C7" i="3"/>
  <c r="C241" i="3"/>
  <c r="C199" i="3"/>
  <c r="C128" i="3"/>
  <c r="A26" i="5" s="1"/>
  <c r="C125" i="3"/>
  <c r="C96" i="3"/>
  <c r="C95" i="3"/>
  <c r="C50" i="3"/>
  <c r="C150" i="3"/>
  <c r="C11" i="3"/>
  <c r="C211" i="3"/>
  <c r="C159" i="3"/>
  <c r="C13" i="3"/>
  <c r="C111" i="3"/>
  <c r="C221" i="3"/>
  <c r="A51" i="5" s="1"/>
  <c r="C215" i="3"/>
  <c r="C87" i="3"/>
  <c r="C49" i="3"/>
  <c r="C28" i="3"/>
  <c r="C23" i="3"/>
  <c r="C19" i="3"/>
  <c r="C232" i="3"/>
  <c r="C173" i="3"/>
  <c r="C131" i="3"/>
  <c r="C121" i="3"/>
  <c r="A22" i="5" s="1"/>
  <c r="C93" i="3"/>
  <c r="C243" i="3"/>
  <c r="C231" i="3"/>
  <c r="C229" i="3"/>
  <c r="C197" i="3"/>
  <c r="C193" i="3"/>
  <c r="A41" i="5" s="1"/>
  <c r="C192" i="3"/>
  <c r="C175" i="3"/>
  <c r="A39" i="5" s="1"/>
  <c r="C167" i="3"/>
  <c r="C162" i="3"/>
  <c r="C140" i="3"/>
  <c r="C139" i="3"/>
  <c r="A29" i="5" s="1"/>
  <c r="C135" i="3"/>
  <c r="C105" i="3"/>
  <c r="A18" i="5" s="1"/>
  <c r="C102" i="3"/>
  <c r="C77" i="3"/>
  <c r="C53" i="3"/>
  <c r="C16" i="3"/>
  <c r="C3" i="3"/>
  <c r="C235" i="3"/>
  <c r="C204" i="3"/>
  <c r="C183" i="3"/>
  <c r="C141" i="3"/>
  <c r="C117" i="3"/>
  <c r="C106" i="3"/>
  <c r="C67" i="3"/>
  <c r="C66" i="3"/>
  <c r="A11" i="5" s="1"/>
  <c r="C20" i="3"/>
  <c r="C5" i="3"/>
  <c r="C249" i="3"/>
  <c r="C247" i="3"/>
  <c r="C233" i="3"/>
  <c r="A53" i="5" s="1"/>
  <c r="C226" i="3"/>
  <c r="C202" i="3"/>
  <c r="A44" i="5" s="1"/>
  <c r="C179" i="3"/>
  <c r="C177" i="3"/>
  <c r="C176" i="3"/>
  <c r="C171" i="3"/>
  <c r="C166" i="3"/>
  <c r="C155" i="3"/>
  <c r="C152" i="3"/>
  <c r="A32" i="5" s="1"/>
  <c r="C151" i="3"/>
  <c r="C149" i="3"/>
  <c r="C126" i="3"/>
  <c r="A24" i="5" s="1"/>
  <c r="C118" i="3"/>
  <c r="C103" i="3"/>
  <c r="A16" i="5" s="1"/>
  <c r="C98" i="3"/>
  <c r="C64" i="3"/>
  <c r="C62" i="3"/>
  <c r="C55" i="3"/>
  <c r="A8" i="5" s="1"/>
  <c r="C51" i="3"/>
  <c r="C246" i="3"/>
  <c r="C242" i="3"/>
  <c r="C239" i="3"/>
  <c r="C228" i="3"/>
  <c r="C218" i="3"/>
  <c r="C163" i="3"/>
  <c r="C160" i="3"/>
  <c r="A34" i="5" s="1"/>
  <c r="C158" i="3"/>
  <c r="C132" i="3"/>
  <c r="C120" i="3"/>
  <c r="C119" i="3"/>
  <c r="C94" i="3"/>
  <c r="C88" i="3"/>
  <c r="C85" i="3"/>
  <c r="C81" i="3"/>
  <c r="A13" i="5" s="1"/>
  <c r="C75" i="3"/>
  <c r="C69" i="3"/>
  <c r="C65" i="3"/>
  <c r="C60" i="3"/>
  <c r="C57" i="3"/>
  <c r="C45" i="3"/>
  <c r="C4" i="3"/>
  <c r="C227" i="3"/>
  <c r="A52" i="5" s="1"/>
  <c r="C225" i="3"/>
  <c r="C224" i="3"/>
  <c r="C222" i="3"/>
  <c r="C205" i="3"/>
  <c r="C200" i="3"/>
  <c r="A43" i="5" s="1"/>
  <c r="C196" i="3"/>
  <c r="C188" i="3"/>
  <c r="C186" i="3"/>
  <c r="C181" i="3"/>
  <c r="C169" i="3"/>
  <c r="A37" i="5" s="1"/>
  <c r="C168" i="3"/>
  <c r="C161" i="3"/>
  <c r="C148" i="3"/>
  <c r="A31" i="5" s="1"/>
  <c r="C144" i="3"/>
  <c r="C143" i="3"/>
  <c r="C138" i="3"/>
  <c r="A28" i="5" s="1"/>
  <c r="C130" i="3"/>
  <c r="C115" i="3"/>
  <c r="C114" i="3"/>
  <c r="C107" i="3"/>
  <c r="C90" i="3"/>
  <c r="C84" i="3"/>
  <c r="C76" i="3"/>
  <c r="C72" i="3"/>
  <c r="C70" i="3"/>
  <c r="C68" i="3"/>
  <c r="C58" i="3"/>
  <c r="C30" i="3"/>
  <c r="C29" i="3"/>
  <c r="C24" i="3"/>
  <c r="C17" i="3"/>
  <c r="C12" i="3"/>
  <c r="C6" i="3"/>
  <c r="C251" i="3"/>
  <c r="C248" i="3"/>
  <c r="A54" i="5" s="1"/>
  <c r="C244" i="3"/>
  <c r="C240" i="3"/>
  <c r="C238" i="3"/>
  <c r="C236" i="3"/>
  <c r="C220" i="3"/>
  <c r="C219" i="3"/>
  <c r="C207" i="3"/>
  <c r="A47" i="5" s="1"/>
  <c r="C206" i="3"/>
  <c r="A46" i="5" s="1"/>
  <c r="C203" i="3"/>
  <c r="A45" i="5" s="1"/>
  <c r="C198" i="3"/>
  <c r="A42" i="5" s="1"/>
  <c r="C194" i="3"/>
  <c r="C189" i="3"/>
  <c r="C184" i="3"/>
  <c r="C180" i="3"/>
  <c r="C165" i="3"/>
  <c r="A36" i="5" s="1"/>
  <c r="C154" i="3"/>
  <c r="C145" i="3"/>
  <c r="A30" i="5" s="1"/>
  <c r="C142" i="3"/>
  <c r="C137" i="3"/>
  <c r="C113" i="3"/>
  <c r="C112" i="3"/>
  <c r="C109" i="3"/>
  <c r="A19" i="5" s="1"/>
  <c r="C97" i="3"/>
  <c r="C91" i="3"/>
  <c r="C86" i="3"/>
  <c r="C80" i="3"/>
  <c r="C74" i="3"/>
  <c r="C73" i="3"/>
  <c r="A12" i="5" s="1"/>
  <c r="C71" i="3"/>
  <c r="C63" i="3"/>
  <c r="C59" i="3"/>
  <c r="A10" i="5" s="1"/>
  <c r="C56" i="3"/>
  <c r="A9" i="5" s="1"/>
  <c r="C48" i="3"/>
  <c r="C46" i="3"/>
  <c r="C43" i="3"/>
  <c r="C41" i="3"/>
  <c r="C39" i="3"/>
  <c r="C37" i="3"/>
  <c r="C34" i="3"/>
  <c r="C33" i="3"/>
  <c r="C31" i="3"/>
  <c r="C27" i="3"/>
  <c r="C26" i="3"/>
  <c r="A5" i="5" s="1"/>
  <c r="C25" i="3"/>
  <c r="C14" i="3"/>
  <c r="A3" i="5" s="1"/>
  <c r="C9" i="3"/>
  <c r="C250" i="3"/>
  <c r="C245" i="3"/>
  <c r="C237" i="3"/>
  <c r="C234" i="3"/>
  <c r="C223" i="3"/>
  <c r="C217" i="3"/>
  <c r="A50" i="5" s="1"/>
  <c r="C216" i="3"/>
  <c r="A49" i="5" s="1"/>
  <c r="C214" i="3"/>
  <c r="C213" i="3"/>
  <c r="C212" i="3"/>
  <c r="C210" i="3"/>
  <c r="A48" i="5" s="1"/>
  <c r="C209" i="3"/>
  <c r="C208" i="3"/>
  <c r="C201" i="3"/>
  <c r="C195" i="3"/>
  <c r="C191" i="3"/>
  <c r="C190" i="3"/>
  <c r="C187" i="3"/>
  <c r="A40" i="5" s="1"/>
  <c r="C185" i="3"/>
  <c r="C182" i="3"/>
  <c r="C174" i="3"/>
  <c r="C170" i="3"/>
  <c r="C164" i="3"/>
  <c r="A35" i="5" s="1"/>
  <c r="C156" i="3"/>
  <c r="C153" i="3"/>
  <c r="A33" i="5" s="1"/>
  <c r="C147" i="3"/>
  <c r="C146" i="3"/>
  <c r="C136" i="3"/>
  <c r="C134" i="3"/>
  <c r="C133" i="3"/>
  <c r="A27" i="5" s="1"/>
  <c r="C129" i="3"/>
  <c r="C127" i="3"/>
  <c r="A25" i="5" s="1"/>
  <c r="C124" i="3"/>
  <c r="C123" i="3"/>
  <c r="A23" i="5" s="1"/>
  <c r="C122" i="3"/>
  <c r="C110" i="3"/>
  <c r="A20" i="5" s="1"/>
  <c r="C108" i="3"/>
  <c r="C104" i="3"/>
  <c r="A17" i="5" s="1"/>
  <c r="C101" i="3"/>
  <c r="C100" i="3"/>
  <c r="C99" i="3"/>
  <c r="A15" i="5" s="1"/>
  <c r="C89" i="3"/>
  <c r="C83" i="3"/>
  <c r="C82" i="3"/>
  <c r="A14" i="5" s="1"/>
  <c r="C79" i="3"/>
  <c r="C78" i="3"/>
  <c r="C61" i="3"/>
  <c r="C52" i="3"/>
  <c r="C47" i="3"/>
  <c r="C44" i="3"/>
  <c r="A7" i="5" s="1"/>
  <c r="C42" i="3"/>
  <c r="C40" i="3"/>
  <c r="C38" i="3"/>
  <c r="C36" i="3"/>
  <c r="C21" i="3"/>
  <c r="C18" i="3"/>
  <c r="C15" i="3"/>
  <c r="A4" i="5" s="1"/>
  <c r="C8" i="3"/>
  <c r="A2" i="5" s="1"/>
  <c r="B4" i="4" l="1"/>
  <c r="B3" i="4"/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F2" i="5"/>
  <c r="E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tc={A8A3169D-F2B6-487F-AB3E-7D4DADE430B1}</author>
    <author>tc={3B680286-EF9D-49C0-A797-CB032ED78A46}</author>
  </authors>
  <commentList>
    <comment ref="A2" authorId="0" shapeId="0" xr:uid="{A8A3169D-F2B6-487F-AB3E-7D4DADE430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=INV.NORM.N(CASUALE();Parameters!$B$3;Parameters!$B$4)
</t>
      </text>
    </comment>
    <comment ref="B2" authorId="1" shapeId="0" xr:uid="{3B680286-EF9D-49C0-A797-CB032ED78A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=CASUALE.TRA(1;4)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tc={6C7522B8-0E6E-4007-AD93-72D9B4D2A459}</author>
    <author>tc={5567382C-A911-45EF-83B0-A393B28867E6}</author>
  </authors>
  <commentList>
    <comment ref="B2" authorId="0" shapeId="0" xr:uid="{6C7522B8-0E6E-4007-AD93-72D9B4D2A4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=CASUALE.TRA(0;5)
</t>
      </text>
    </comment>
    <comment ref="C2" authorId="1" shapeId="0" xr:uid="{5567382C-A911-45EF-83B0-A393B28867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=SE(A2="";"";A2+CASUALE.TRA(-5;5))
</t>
      </text>
    </comment>
  </commentList>
</comments>
</file>

<file path=xl/sharedStrings.xml><?xml version="1.0" encoding="utf-8"?>
<sst xmlns="http://schemas.openxmlformats.org/spreadsheetml/2006/main" count="34" uniqueCount="31">
  <si>
    <t>Parameter</t>
  </si>
  <si>
    <t>Value</t>
  </si>
  <si>
    <t>Probability</t>
  </si>
  <si>
    <t>Mean (age)</t>
  </si>
  <si>
    <t>StdDev (age)</t>
  </si>
  <si>
    <t>Age</t>
  </si>
  <si>
    <t>Group</t>
  </si>
  <si>
    <t>Sample (by group)</t>
  </si>
  <si>
    <t>Chosen group</t>
  </si>
  <si>
    <t>Measure</t>
  </si>
  <si>
    <t>STDDEV</t>
  </si>
  <si>
    <t>EXPECTED VALUE</t>
  </si>
  <si>
    <t>COUNT</t>
  </si>
  <si>
    <t>CONFIDENCE RATE</t>
  </si>
  <si>
    <t>ESTIMATION OF P PARAMETER</t>
  </si>
  <si>
    <t>CONFIDENCE INTERVAL</t>
  </si>
  <si>
    <t>LOWER BOUND CI</t>
  </si>
  <si>
    <t>UPPER BOUND CI</t>
  </si>
  <si>
    <t>Sample data</t>
  </si>
  <si>
    <t>Number of cats</t>
  </si>
  <si>
    <t>Age of partner</t>
  </si>
  <si>
    <t>Corr(Age, Number of cats)</t>
  </si>
  <si>
    <t>Corr(Age, Age of partner)</t>
  </si>
  <si>
    <t>Y (age)</t>
  </si>
  <si>
    <t>X (rank)</t>
  </si>
  <si>
    <t>Slope</t>
  </si>
  <si>
    <t>Intercept</t>
  </si>
  <si>
    <t>Regression line</t>
  </si>
  <si>
    <t>Predicted age (X=160)</t>
  </si>
  <si>
    <t>Fitted age</t>
  </si>
  <si>
    <t>R-squared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</si>
</sst>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0"/>
  </numFmts>
  <fonts count="3">
    <font>
      <sz val="11"/>
      <color theme="1"/>
      <name val="Aptos Narrow"/>
      <family val="2"/>
      <scheme val="minor"/>
    </font>
    <font>
      <sz val="12"/>
      <color theme="3" tint="0.499984740745262"/>
      <name val="Comic Sans MS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2" xfId="0" applyFont="1" applyFill="1" applyBorder="1"/>
    <xf numFmtId="0" fontId="0" fillId="0" borderId="3" xfId="0" applyBorder="1"/>
    <xf numFmtId="0" fontId="1" fillId="2" borderId="4" xfId="0" applyFont="1" applyFill="1" applyBorder="1"/>
    <xf numFmtId="0" fontId="0" fillId="0" borderId="6" xfId="0" applyBorder="1"/>
    <xf numFmtId="2" fontId="0" fillId="0" borderId="5" xfId="0" applyNumberFormat="1" applyBorder="1"/>
    <xf numFmtId="2" fontId="0" fillId="0" borderId="3" xfId="0" applyNumberFormat="1" applyBorder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0" fillId="0" borderId="6" xfId="0" applyNumberFormat="1" applyBorder="1"/>
    <xf numFmtId="1" fontId="0" fillId="0" borderId="0" xfId="0" applyNumberFormat="1" applyAlignment="1">
      <alignment horizontal="center"/>
    </xf>
    <xf numFmtId="2" fontId="1" fillId="2" borderId="8" xfId="0" applyNumberFormat="1" applyFont="1" applyFill="1" applyBorder="1"/>
    <xf numFmtId="1" fontId="1" fillId="2" borderId="8" xfId="0" applyNumberFormat="1" applyFont="1" applyFill="1" applyBorder="1" applyAlignment="1">
      <alignment horizontal="center"/>
    </xf>
    <xf numFmtId="2" fontId="0" fillId="3" borderId="6" xfId="0" applyNumberFormat="1" applyFill="1" applyBorder="1"/>
    <xf numFmtId="1" fontId="0" fillId="3" borderId="6" xfId="0" applyNumberFormat="1" applyFill="1" applyBorder="1" applyAlignment="1">
      <alignment horizontal="center"/>
    </xf>
    <xf numFmtId="2" fontId="0" fillId="3" borderId="1" xfId="0" applyNumberFormat="1" applyFill="1" applyBorder="1"/>
    <xf numFmtId="1" fontId="0" fillId="3" borderId="1" xfId="0" applyNumberFormat="1" applyFill="1" applyBorder="1" applyAlignment="1">
      <alignment horizontal="center"/>
    </xf>
    <xf numFmtId="2" fontId="0" fillId="3" borderId="9" xfId="0" applyNumberFormat="1" applyFill="1" applyBorder="1"/>
    <xf numFmtId="1" fontId="0" fillId="3" borderId="9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8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2" fontId="0" fillId="3" borderId="1" xfId="0" applyNumberFormat="1" applyFill="1" applyBorder="1" applyAlignment="1">
      <alignment horizontal="right"/>
    </xf>
    <xf numFmtId="1" fontId="0" fillId="3" borderId="1" xfId="0" applyNumberFormat="1" applyFill="1" applyBorder="1" applyAlignment="1">
      <alignment horizontal="right"/>
    </xf>
    <xf numFmtId="9" fontId="0" fillId="3" borderId="1" xfId="0" applyNumberFormat="1" applyFill="1" applyBorder="1" applyAlignment="1">
      <alignment horizontal="right"/>
    </xf>
    <xf numFmtId="2" fontId="0" fillId="0" borderId="0" xfId="0" applyNumberFormat="1" applyAlignment="1">
      <alignment horizontal="right"/>
    </xf>
    <xf numFmtId="2" fontId="1" fillId="2" borderId="5" xfId="0" applyNumberFormat="1" applyFont="1" applyFill="1" applyBorder="1" applyAlignment="1">
      <alignment horizontal="right"/>
    </xf>
    <xf numFmtId="1" fontId="1" fillId="2" borderId="6" xfId="0" applyNumberFormat="1" applyFont="1" applyFill="1" applyBorder="1" applyAlignment="1">
      <alignment horizontal="center"/>
    </xf>
    <xf numFmtId="2" fontId="1" fillId="2" borderId="10" xfId="0" applyNumberFormat="1" applyFont="1" applyFill="1" applyBorder="1"/>
    <xf numFmtId="2" fontId="0" fillId="3" borderId="3" xfId="0" applyNumberFormat="1" applyFill="1" applyBorder="1" applyAlignment="1">
      <alignment horizontal="right"/>
    </xf>
    <xf numFmtId="2" fontId="0" fillId="3" borderId="7" xfId="0" applyNumberFormat="1" applyFill="1" applyBorder="1"/>
    <xf numFmtId="165" fontId="1" fillId="2" borderId="8" xfId="0" applyNumberFormat="1" applyFont="1" applyFill="1" applyBorder="1"/>
    <xf numFmtId="0" fontId="1" fillId="2" borderId="8" xfId="0" applyFont="1" applyFill="1" applyBorder="1"/>
    <xf numFmtId="164" fontId="1" fillId="2" borderId="8" xfId="0" applyNumberFormat="1" applyFont="1" applyFill="1" applyBorder="1"/>
    <xf numFmtId="165" fontId="0" fillId="3" borderId="6" xfId="0" applyNumberFormat="1" applyFill="1" applyBorder="1"/>
    <xf numFmtId="164" fontId="0" fillId="3" borderId="6" xfId="0" applyNumberFormat="1" applyFill="1" applyBorder="1"/>
    <xf numFmtId="165" fontId="0" fillId="3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165" fontId="0" fillId="3" borderId="9" xfId="0" applyNumberFormat="1" applyFill="1" applyBorder="1"/>
    <xf numFmtId="0" fontId="0" fillId="3" borderId="9" xfId="0" applyFill="1" applyBorder="1"/>
    <xf numFmtId="164" fontId="0" fillId="3" borderId="9" xfId="0" applyNumberFormat="1" applyFill="1" applyBorder="1"/>
    <xf numFmtId="0" fontId="0" fillId="3" borderId="6" xfId="0" applyFill="1" applyBorder="1" applyAlignment="1">
      <alignment horizontal="center"/>
    </xf>
    <xf numFmtId="0" fontId="0" fillId="3" borderId="1" xfId="0" applyNumberFormat="1" applyFill="1" applyBorder="1" applyAlignment="1">
      <alignment horizontal="right" wrapText="1"/>
    </xf>
    <xf numFmtId="2" fontId="0" fillId="3" borderId="1" xfId="0" applyNumberFormat="1" applyFill="1" applyBorder="1" applyAlignment="1">
      <alignment horizontal="right" wrapText="1"/>
    </xf>
    <xf numFmtId="0" fontId="2" fillId="3" borderId="11" xfId="0" applyFont="1" applyFill="1" applyBorder="1" applyAlignment="1">
      <alignment horizontal="left"/>
    </xf>
    <xf numFmtId="2" fontId="0" fillId="3" borderId="11" xfId="0" applyNumberFormat="1" applyFill="1" applyBorder="1" applyAlignment="1">
      <alignment horizontal="right"/>
    </xf>
    <xf numFmtId="2" fontId="2" fillId="0" borderId="6" xfId="0" applyNumberFormat="1" applyFont="1" applyBorder="1"/>
  </cellXfs>
  <cellStyles count="1">
    <cellStyle name="Normale" xfId="0" builtinId="0"/>
  </cellStyles>
  <dxfs count="33">
    <dxf>
      <numFmt numFmtId="164" formatCode="0.0000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5" formatCode="0.00000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double">
          <color rgb="FF000000"/>
        </bottom>
      </border>
    </dxf>
    <dxf>
      <border outline="0">
        <top style="double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double">
          <color rgb="FF000000"/>
        </bottom>
      </border>
    </dxf>
    <dxf>
      <border outline="0">
        <top style="double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double">
          <color rgb="FF000000"/>
        </bottom>
      </border>
    </dxf>
    <dxf>
      <border outline="0">
        <top style="double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double">
          <color rgb="FF000000"/>
        </bottom>
      </border>
    </dxf>
    <dxf>
      <border outline="0">
        <top style="double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Regression (R² ≈ 0,000007)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'Linear Regression'!$B$1</c:f>
              <c:strCache>
                <c:ptCount val="1"/>
                <c:pt idx="0">
                  <c:v>X (rank)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'Linear Regression'!B2:B251</c:f>
              <c:numCache>
                <c:formatCode>0</c:formatCode>
                <c:ptCount val="2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</c:numCache>
            </c:numRef>
          </c:xVal>
          <c:yVal>
            <c:numRef>
              <c:f>'Linear Regression'!A2:A251</c:f>
              <c:numCache>
                <c:formatCode>0.00</c:formatCode>
                <c:ptCount val="250"/>
                <c:pt idx="0">
                  <c:v>30.667001851053044</c:v>
                </c:pt>
                <c:pt idx="1">
                  <c:v>36.335167882277396</c:v>
                </c:pt>
                <c:pt idx="2">
                  <c:v>33.424058748812577</c:v>
                </c:pt>
                <c:pt idx="3">
                  <c:v>52.576527877855312</c:v>
                </c:pt>
                <c:pt idx="4">
                  <c:v>48.4663056313968</c:v>
                </c:pt>
                <c:pt idx="5">
                  <c:v>36.752010579693462</c:v>
                </c:pt>
                <c:pt idx="6">
                  <c:v>22.097907202231319</c:v>
                </c:pt>
                <c:pt idx="7">
                  <c:v>61.275853899268327</c:v>
                </c:pt>
                <c:pt idx="8">
                  <c:v>50.570993443890671</c:v>
                </c:pt>
                <c:pt idx="9">
                  <c:v>35.273006871487667</c:v>
                </c:pt>
                <c:pt idx="10">
                  <c:v>46.206611839455739</c:v>
                </c:pt>
                <c:pt idx="11">
                  <c:v>33.598832765397603</c:v>
                </c:pt>
                <c:pt idx="12">
                  <c:v>45.913556542368767</c:v>
                </c:pt>
                <c:pt idx="13">
                  <c:v>39.776334614844551</c:v>
                </c:pt>
                <c:pt idx="14">
                  <c:v>50.795225224051606</c:v>
                </c:pt>
                <c:pt idx="15">
                  <c:v>55.88574312071394</c:v>
                </c:pt>
                <c:pt idx="16">
                  <c:v>39.241828787817028</c:v>
                </c:pt>
                <c:pt idx="17">
                  <c:v>39.759026569182801</c:v>
                </c:pt>
                <c:pt idx="18">
                  <c:v>31.975039122946296</c:v>
                </c:pt>
                <c:pt idx="19">
                  <c:v>61.958144381574463</c:v>
                </c:pt>
                <c:pt idx="20">
                  <c:v>33.032514156848691</c:v>
                </c:pt>
                <c:pt idx="21">
                  <c:v>45.55343971698818</c:v>
                </c:pt>
                <c:pt idx="22">
                  <c:v>24.520969916755327</c:v>
                </c:pt>
                <c:pt idx="23">
                  <c:v>26.059147312646814</c:v>
                </c:pt>
                <c:pt idx="24">
                  <c:v>53.437461054099337</c:v>
                </c:pt>
                <c:pt idx="25">
                  <c:v>13.702593737603131</c:v>
                </c:pt>
                <c:pt idx="26">
                  <c:v>24.187549200110851</c:v>
                </c:pt>
                <c:pt idx="27">
                  <c:v>36.235221249877348</c:v>
                </c:pt>
                <c:pt idx="28">
                  <c:v>41.47316848654367</c:v>
                </c:pt>
                <c:pt idx="29">
                  <c:v>41.198725531294201</c:v>
                </c:pt>
                <c:pt idx="30">
                  <c:v>59.200101457589405</c:v>
                </c:pt>
                <c:pt idx="31">
                  <c:v>54.054615028688445</c:v>
                </c:pt>
                <c:pt idx="32">
                  <c:v>41.826754514426689</c:v>
                </c:pt>
                <c:pt idx="33">
                  <c:v>25.053513054954479</c:v>
                </c:pt>
                <c:pt idx="34">
                  <c:v>39.07267842455412</c:v>
                </c:pt>
                <c:pt idx="35">
                  <c:v>31.821589738112348</c:v>
                </c:pt>
                <c:pt idx="36">
                  <c:v>29.230441863480507</c:v>
                </c:pt>
                <c:pt idx="37">
                  <c:v>31.796103980490635</c:v>
                </c:pt>
                <c:pt idx="38">
                  <c:v>39.152870703837422</c:v>
                </c:pt>
                <c:pt idx="39">
                  <c:v>22.554208480323876</c:v>
                </c:pt>
                <c:pt idx="40">
                  <c:v>33.641128309332728</c:v>
                </c:pt>
                <c:pt idx="41">
                  <c:v>47.806128520129242</c:v>
                </c:pt>
                <c:pt idx="42">
                  <c:v>31.09147211647273</c:v>
                </c:pt>
                <c:pt idx="43">
                  <c:v>37.886746621193424</c:v>
                </c:pt>
                <c:pt idx="44">
                  <c:v>30.965765530816324</c:v>
                </c:pt>
                <c:pt idx="45">
                  <c:v>50.771440343585454</c:v>
                </c:pt>
                <c:pt idx="46">
                  <c:v>21.16762538627902</c:v>
                </c:pt>
                <c:pt idx="47">
                  <c:v>54.671996200986776</c:v>
                </c:pt>
                <c:pt idx="48">
                  <c:v>31.295929048042414</c:v>
                </c:pt>
                <c:pt idx="49">
                  <c:v>44.741151806377104</c:v>
                </c:pt>
                <c:pt idx="50">
                  <c:v>43.809006982539884</c:v>
                </c:pt>
                <c:pt idx="51">
                  <c:v>41.953601245414134</c:v>
                </c:pt>
                <c:pt idx="52">
                  <c:v>60.805513038292069</c:v>
                </c:pt>
                <c:pt idx="53">
                  <c:v>53.437103161621017</c:v>
                </c:pt>
                <c:pt idx="54">
                  <c:v>39.345024748777398</c:v>
                </c:pt>
                <c:pt idx="55">
                  <c:v>32.291600115490077</c:v>
                </c:pt>
                <c:pt idx="56">
                  <c:v>35.79750541094333</c:v>
                </c:pt>
                <c:pt idx="57">
                  <c:v>33.713157510956783</c:v>
                </c:pt>
                <c:pt idx="58">
                  <c:v>44.694961756628658</c:v>
                </c:pt>
                <c:pt idx="59">
                  <c:v>41.027506718959991</c:v>
                </c:pt>
                <c:pt idx="60">
                  <c:v>38.943935388359066</c:v>
                </c:pt>
                <c:pt idx="61">
                  <c:v>43.833299800352215</c:v>
                </c:pt>
                <c:pt idx="62">
                  <c:v>24.110483304000283</c:v>
                </c:pt>
                <c:pt idx="63">
                  <c:v>37.94645298189316</c:v>
                </c:pt>
                <c:pt idx="64">
                  <c:v>29.475621966392367</c:v>
                </c:pt>
                <c:pt idx="65">
                  <c:v>44.39221521710536</c:v>
                </c:pt>
                <c:pt idx="66">
                  <c:v>37.571413835342057</c:v>
                </c:pt>
                <c:pt idx="67">
                  <c:v>29.522295117768863</c:v>
                </c:pt>
                <c:pt idx="68">
                  <c:v>55.342072582085663</c:v>
                </c:pt>
                <c:pt idx="69">
                  <c:v>25.91805309177866</c:v>
                </c:pt>
                <c:pt idx="70">
                  <c:v>39.762869794724345</c:v>
                </c:pt>
                <c:pt idx="71">
                  <c:v>41.914769475411596</c:v>
                </c:pt>
                <c:pt idx="72">
                  <c:v>43.288227448678242</c:v>
                </c:pt>
                <c:pt idx="73">
                  <c:v>41.816664685295457</c:v>
                </c:pt>
                <c:pt idx="74">
                  <c:v>34.418848382661295</c:v>
                </c:pt>
                <c:pt idx="75">
                  <c:v>56.293559296373672</c:v>
                </c:pt>
                <c:pt idx="76">
                  <c:v>20.393306924307375</c:v>
                </c:pt>
                <c:pt idx="77">
                  <c:v>38.684073317425977</c:v>
                </c:pt>
                <c:pt idx="78">
                  <c:v>24.162612244555426</c:v>
                </c:pt>
                <c:pt idx="79">
                  <c:v>42.117100602524786</c:v>
                </c:pt>
                <c:pt idx="80">
                  <c:v>38.265859985897926</c:v>
                </c:pt>
                <c:pt idx="81">
                  <c:v>40.150343035632716</c:v>
                </c:pt>
                <c:pt idx="82">
                  <c:v>32.559560265273191</c:v>
                </c:pt>
                <c:pt idx="83">
                  <c:v>41.986302857577506</c:v>
                </c:pt>
                <c:pt idx="84">
                  <c:v>39.151798309299217</c:v>
                </c:pt>
                <c:pt idx="85">
                  <c:v>28.110802666498188</c:v>
                </c:pt>
                <c:pt idx="86">
                  <c:v>25.385238900579317</c:v>
                </c:pt>
                <c:pt idx="87">
                  <c:v>40.042423772421941</c:v>
                </c:pt>
                <c:pt idx="88">
                  <c:v>40.99652909655002</c:v>
                </c:pt>
                <c:pt idx="89">
                  <c:v>26.58281199058332</c:v>
                </c:pt>
                <c:pt idx="90">
                  <c:v>46.943522843547413</c:v>
                </c:pt>
                <c:pt idx="91">
                  <c:v>25.37835591370073</c:v>
                </c:pt>
                <c:pt idx="92">
                  <c:v>53.294325856877137</c:v>
                </c:pt>
                <c:pt idx="93">
                  <c:v>52.735585903820656</c:v>
                </c:pt>
                <c:pt idx="94">
                  <c:v>34.677330316005452</c:v>
                </c:pt>
                <c:pt idx="95">
                  <c:v>56.566259658034852</c:v>
                </c:pt>
                <c:pt idx="96">
                  <c:v>28.99405499459353</c:v>
                </c:pt>
                <c:pt idx="97">
                  <c:v>65.066475376533305</c:v>
                </c:pt>
                <c:pt idx="98">
                  <c:v>18.915253251435615</c:v>
                </c:pt>
                <c:pt idx="99">
                  <c:v>32.771505529771254</c:v>
                </c:pt>
                <c:pt idx="100">
                  <c:v>26.777743839779195</c:v>
                </c:pt>
                <c:pt idx="101">
                  <c:v>55.402625506211088</c:v>
                </c:pt>
                <c:pt idx="102">
                  <c:v>38.317191165662869</c:v>
                </c:pt>
                <c:pt idx="103">
                  <c:v>50.369456437073111</c:v>
                </c:pt>
                <c:pt idx="104">
                  <c:v>48.435043835255634</c:v>
                </c:pt>
                <c:pt idx="105">
                  <c:v>23.398415162048963</c:v>
                </c:pt>
                <c:pt idx="106">
                  <c:v>32.839094026228345</c:v>
                </c:pt>
                <c:pt idx="107">
                  <c:v>42.272425544894745</c:v>
                </c:pt>
                <c:pt idx="108">
                  <c:v>28.638854134174654</c:v>
                </c:pt>
                <c:pt idx="109">
                  <c:v>35.854143084637307</c:v>
                </c:pt>
                <c:pt idx="110">
                  <c:v>28.320932958331461</c:v>
                </c:pt>
                <c:pt idx="111">
                  <c:v>38.236212181407666</c:v>
                </c:pt>
                <c:pt idx="112">
                  <c:v>19.775176766736994</c:v>
                </c:pt>
                <c:pt idx="113">
                  <c:v>36.110107146272476</c:v>
                </c:pt>
                <c:pt idx="114">
                  <c:v>41.238363822278494</c:v>
                </c:pt>
                <c:pt idx="115">
                  <c:v>29.572446009947051</c:v>
                </c:pt>
                <c:pt idx="116">
                  <c:v>25.17540891846263</c:v>
                </c:pt>
                <c:pt idx="117">
                  <c:v>38.593635377924819</c:v>
                </c:pt>
                <c:pt idx="118">
                  <c:v>36.378127991750183</c:v>
                </c:pt>
                <c:pt idx="119">
                  <c:v>49.224365029610887</c:v>
                </c:pt>
                <c:pt idx="120">
                  <c:v>39.513246438038173</c:v>
                </c:pt>
                <c:pt idx="121">
                  <c:v>48.665996124496175</c:v>
                </c:pt>
                <c:pt idx="122">
                  <c:v>38.813568571332006</c:v>
                </c:pt>
                <c:pt idx="123">
                  <c:v>60.436193895085857</c:v>
                </c:pt>
                <c:pt idx="124">
                  <c:v>38.551777744875942</c:v>
                </c:pt>
                <c:pt idx="125">
                  <c:v>57.696480106041513</c:v>
                </c:pt>
                <c:pt idx="126">
                  <c:v>50.652509690743997</c:v>
                </c:pt>
                <c:pt idx="127">
                  <c:v>38.606191025374812</c:v>
                </c:pt>
                <c:pt idx="128">
                  <c:v>24.760682532116807</c:v>
                </c:pt>
                <c:pt idx="129">
                  <c:v>55.247339594876237</c:v>
                </c:pt>
                <c:pt idx="130">
                  <c:v>32.855402349156208</c:v>
                </c:pt>
                <c:pt idx="131">
                  <c:v>17.516341486154023</c:v>
                </c:pt>
                <c:pt idx="132">
                  <c:v>42.095270478915005</c:v>
                </c:pt>
                <c:pt idx="133">
                  <c:v>51.776546153798598</c:v>
                </c:pt>
                <c:pt idx="134">
                  <c:v>39.078308454519636</c:v>
                </c:pt>
                <c:pt idx="135">
                  <c:v>33.816578964656877</c:v>
                </c:pt>
                <c:pt idx="136">
                  <c:v>34.549766899381908</c:v>
                </c:pt>
                <c:pt idx="137">
                  <c:v>45.701794310734954</c:v>
                </c:pt>
                <c:pt idx="138">
                  <c:v>17.06333419885253</c:v>
                </c:pt>
                <c:pt idx="139">
                  <c:v>32.357756807515116</c:v>
                </c:pt>
                <c:pt idx="140">
                  <c:v>40.984350557352116</c:v>
                </c:pt>
                <c:pt idx="141">
                  <c:v>43.395203871310869</c:v>
                </c:pt>
                <c:pt idx="142">
                  <c:v>26.617579956808669</c:v>
                </c:pt>
                <c:pt idx="143">
                  <c:v>48.646368715722048</c:v>
                </c:pt>
                <c:pt idx="144">
                  <c:v>43.293775383914131</c:v>
                </c:pt>
                <c:pt idx="145">
                  <c:v>43.493644677188165</c:v>
                </c:pt>
                <c:pt idx="146">
                  <c:v>53.561894971091021</c:v>
                </c:pt>
                <c:pt idx="147">
                  <c:v>40.496980646709844</c:v>
                </c:pt>
                <c:pt idx="148">
                  <c:v>34.399320510618665</c:v>
                </c:pt>
                <c:pt idx="149">
                  <c:v>41.896296601561211</c:v>
                </c:pt>
                <c:pt idx="150">
                  <c:v>43.222204335250218</c:v>
                </c:pt>
                <c:pt idx="151">
                  <c:v>16.692394973823074</c:v>
                </c:pt>
                <c:pt idx="152">
                  <c:v>34.382526834987345</c:v>
                </c:pt>
                <c:pt idx="153">
                  <c:v>31.759147079187805</c:v>
                </c:pt>
                <c:pt idx="154">
                  <c:v>42.62978392162664</c:v>
                </c:pt>
                <c:pt idx="155">
                  <c:v>47.348187782652985</c:v>
                </c:pt>
                <c:pt idx="156">
                  <c:v>50.40591893205287</c:v>
                </c:pt>
                <c:pt idx="157">
                  <c:v>33.388097372650975</c:v>
                </c:pt>
                <c:pt idx="158">
                  <c:v>44.955161971473728</c:v>
                </c:pt>
                <c:pt idx="159">
                  <c:v>57.188495390883581</c:v>
                </c:pt>
                <c:pt idx="160">
                  <c:v>42.640619064734018</c:v>
                </c:pt>
                <c:pt idx="161">
                  <c:v>42.97511084949376</c:v>
                </c:pt>
                <c:pt idx="162">
                  <c:v>58.948429639584688</c:v>
                </c:pt>
                <c:pt idx="163">
                  <c:v>51.655530608077399</c:v>
                </c:pt>
                <c:pt idx="164">
                  <c:v>53.672855371267403</c:v>
                </c:pt>
                <c:pt idx="165">
                  <c:v>32.598979267443674</c:v>
                </c:pt>
                <c:pt idx="166">
                  <c:v>47.423795101431693</c:v>
                </c:pt>
                <c:pt idx="167">
                  <c:v>59.192763261780883</c:v>
                </c:pt>
                <c:pt idx="168">
                  <c:v>38.770078860599881</c:v>
                </c:pt>
                <c:pt idx="169">
                  <c:v>54.713389266433971</c:v>
                </c:pt>
                <c:pt idx="170">
                  <c:v>37.164785642468161</c:v>
                </c:pt>
                <c:pt idx="171">
                  <c:v>23.053804077463283</c:v>
                </c:pt>
                <c:pt idx="172">
                  <c:v>31.794990297691804</c:v>
                </c:pt>
                <c:pt idx="173">
                  <c:v>33.782285653158631</c:v>
                </c:pt>
                <c:pt idx="174">
                  <c:v>43.787636450300575</c:v>
                </c:pt>
                <c:pt idx="175">
                  <c:v>49.828620143118847</c:v>
                </c:pt>
                <c:pt idx="176">
                  <c:v>44.879911029246649</c:v>
                </c:pt>
                <c:pt idx="177">
                  <c:v>38.648395422999336</c:v>
                </c:pt>
                <c:pt idx="178">
                  <c:v>42.997565740114361</c:v>
                </c:pt>
                <c:pt idx="179">
                  <c:v>49.28917560750989</c:v>
                </c:pt>
                <c:pt idx="180">
                  <c:v>52.284347539893943</c:v>
                </c:pt>
                <c:pt idx="181">
                  <c:v>46.432726486494047</c:v>
                </c:pt>
                <c:pt idx="182">
                  <c:v>21.308972076293415</c:v>
                </c:pt>
                <c:pt idx="183">
                  <c:v>38.927192530738353</c:v>
                </c:pt>
                <c:pt idx="184">
                  <c:v>31.173135450243226</c:v>
                </c:pt>
                <c:pt idx="185">
                  <c:v>48.964054162810918</c:v>
                </c:pt>
                <c:pt idx="186">
                  <c:v>39.142526256670848</c:v>
                </c:pt>
                <c:pt idx="187">
                  <c:v>40.641012568504152</c:v>
                </c:pt>
                <c:pt idx="188">
                  <c:v>23.200212456372398</c:v>
                </c:pt>
                <c:pt idx="189">
                  <c:v>46.150486302837614</c:v>
                </c:pt>
                <c:pt idx="190">
                  <c:v>47.536567533884707</c:v>
                </c:pt>
                <c:pt idx="191">
                  <c:v>43.728183947766212</c:v>
                </c:pt>
                <c:pt idx="192">
                  <c:v>38.652888780003238</c:v>
                </c:pt>
                <c:pt idx="193">
                  <c:v>42.187489525849877</c:v>
                </c:pt>
                <c:pt idx="194">
                  <c:v>37.601438957965435</c:v>
                </c:pt>
                <c:pt idx="195">
                  <c:v>41.223919910847876</c:v>
                </c:pt>
                <c:pt idx="196">
                  <c:v>35.944788068574013</c:v>
                </c:pt>
                <c:pt idx="197">
                  <c:v>39.738802941231661</c:v>
                </c:pt>
                <c:pt idx="198">
                  <c:v>38.785667809208498</c:v>
                </c:pt>
                <c:pt idx="199">
                  <c:v>41.441817069791554</c:v>
                </c:pt>
                <c:pt idx="200">
                  <c:v>27.554324302237319</c:v>
                </c:pt>
                <c:pt idx="201">
                  <c:v>37.953294230362353</c:v>
                </c:pt>
                <c:pt idx="202">
                  <c:v>52.001277331372251</c:v>
                </c:pt>
                <c:pt idx="203">
                  <c:v>35.188876521101619</c:v>
                </c:pt>
                <c:pt idx="204">
                  <c:v>57.532113368262578</c:v>
                </c:pt>
                <c:pt idx="205">
                  <c:v>48.52183963653949</c:v>
                </c:pt>
                <c:pt idx="206">
                  <c:v>35.298353742310752</c:v>
                </c:pt>
                <c:pt idx="207">
                  <c:v>51.20395099005119</c:v>
                </c:pt>
                <c:pt idx="208">
                  <c:v>33.924991176762767</c:v>
                </c:pt>
                <c:pt idx="209">
                  <c:v>28.55410475961655</c:v>
                </c:pt>
                <c:pt idx="210">
                  <c:v>46.524072828499939</c:v>
                </c:pt>
                <c:pt idx="211">
                  <c:v>39.33751651214439</c:v>
                </c:pt>
                <c:pt idx="212">
                  <c:v>40.756539201896963</c:v>
                </c:pt>
                <c:pt idx="213">
                  <c:v>30.160108373583498</c:v>
                </c:pt>
                <c:pt idx="214">
                  <c:v>46.490093615375081</c:v>
                </c:pt>
                <c:pt idx="215">
                  <c:v>41.809766218550344</c:v>
                </c:pt>
                <c:pt idx="216">
                  <c:v>45.098688276055491</c:v>
                </c:pt>
                <c:pt idx="217">
                  <c:v>37.322415267013383</c:v>
                </c:pt>
                <c:pt idx="218">
                  <c:v>47.611665452392614</c:v>
                </c:pt>
                <c:pt idx="219">
                  <c:v>23.761777224859298</c:v>
                </c:pt>
                <c:pt idx="220">
                  <c:v>30.413038483213068</c:v>
                </c:pt>
                <c:pt idx="221">
                  <c:v>37.745030115243594</c:v>
                </c:pt>
                <c:pt idx="222">
                  <c:v>24.00279824801132</c:v>
                </c:pt>
                <c:pt idx="223">
                  <c:v>46.679031538842573</c:v>
                </c:pt>
                <c:pt idx="224">
                  <c:v>14.472694650884119</c:v>
                </c:pt>
                <c:pt idx="225">
                  <c:v>24.65506821687169</c:v>
                </c:pt>
                <c:pt idx="226">
                  <c:v>29.12554426267776</c:v>
                </c:pt>
                <c:pt idx="227">
                  <c:v>19.662416014024487</c:v>
                </c:pt>
                <c:pt idx="228">
                  <c:v>45.297393766712183</c:v>
                </c:pt>
                <c:pt idx="229">
                  <c:v>46.523958490941965</c:v>
                </c:pt>
                <c:pt idx="230">
                  <c:v>21.855395509598146</c:v>
                </c:pt>
                <c:pt idx="231">
                  <c:v>52.770223937937388</c:v>
                </c:pt>
                <c:pt idx="232">
                  <c:v>35.618015794131807</c:v>
                </c:pt>
                <c:pt idx="233">
                  <c:v>57.866456763071938</c:v>
                </c:pt>
                <c:pt idx="234">
                  <c:v>30.758509017485576</c:v>
                </c:pt>
                <c:pt idx="235">
                  <c:v>62.112014075713816</c:v>
                </c:pt>
                <c:pt idx="236">
                  <c:v>37.23220782876642</c:v>
                </c:pt>
                <c:pt idx="237">
                  <c:v>52.953062672406247</c:v>
                </c:pt>
                <c:pt idx="238">
                  <c:v>29.297233985628644</c:v>
                </c:pt>
                <c:pt idx="239">
                  <c:v>41.921941291851752</c:v>
                </c:pt>
                <c:pt idx="240">
                  <c:v>30.193112664015587</c:v>
                </c:pt>
                <c:pt idx="241">
                  <c:v>38.521942259457518</c:v>
                </c:pt>
                <c:pt idx="242">
                  <c:v>24.334547975118934</c:v>
                </c:pt>
                <c:pt idx="243">
                  <c:v>38.179017330393393</c:v>
                </c:pt>
                <c:pt idx="244">
                  <c:v>41.226727983278245</c:v>
                </c:pt>
                <c:pt idx="245">
                  <c:v>35.010429320801656</c:v>
                </c:pt>
                <c:pt idx="246">
                  <c:v>34.853405202120335</c:v>
                </c:pt>
                <c:pt idx="247">
                  <c:v>49.168967850674946</c:v>
                </c:pt>
                <c:pt idx="248">
                  <c:v>32.925324391259096</c:v>
                </c:pt>
                <c:pt idx="249">
                  <c:v>32.53860844240274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6-44AC-A888-3E0991ED547D}"/>
            </c:ext>
          </c:extLst>
        </c:ser>
        <c:ser>
          <c:idx val="1"/>
          <c:order val="1"/>
          <c:tx>
            <c:v>Fitted age (regression line)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'Linear Regression'!B2:B251</c:f>
              <c:numCache>
                <c:formatCode>0</c:formatCode>
                <c:ptCount val="2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</c:numCache>
            </c:numRef>
          </c:xVal>
          <c:yVal>
            <c:numRef>
              <c:f>'Linear Regression'!G2:G251</c:f>
              <c:numCache>
                <c:formatCode>0.0000</c:formatCode>
                <c:ptCount val="250"/>
                <c:pt idx="0">
                  <c:v>39.312310905400423</c:v>
                </c:pt>
                <c:pt idx="1">
                  <c:v>39.311921466906149</c:v>
                </c:pt>
                <c:pt idx="2">
                  <c:v>39.311532028411868</c:v>
                </c:pt>
                <c:pt idx="3">
                  <c:v>39.311142589917594</c:v>
                </c:pt>
                <c:pt idx="4">
                  <c:v>39.310753151423313</c:v>
                </c:pt>
                <c:pt idx="5">
                  <c:v>39.310363712929032</c:v>
                </c:pt>
                <c:pt idx="6">
                  <c:v>39.309974274434758</c:v>
                </c:pt>
                <c:pt idx="7">
                  <c:v>39.309584835940477</c:v>
                </c:pt>
                <c:pt idx="8">
                  <c:v>39.309195397446203</c:v>
                </c:pt>
                <c:pt idx="9">
                  <c:v>39.308805958951922</c:v>
                </c:pt>
                <c:pt idx="10">
                  <c:v>39.308416520457648</c:v>
                </c:pt>
                <c:pt idx="11">
                  <c:v>39.308027081963367</c:v>
                </c:pt>
                <c:pt idx="12">
                  <c:v>39.307637643469086</c:v>
                </c:pt>
                <c:pt idx="13">
                  <c:v>39.307248204974812</c:v>
                </c:pt>
                <c:pt idx="14">
                  <c:v>39.306858766480531</c:v>
                </c:pt>
                <c:pt idx="15">
                  <c:v>39.306469327986257</c:v>
                </c:pt>
                <c:pt idx="16">
                  <c:v>39.306079889491976</c:v>
                </c:pt>
                <c:pt idx="17">
                  <c:v>39.305690450997695</c:v>
                </c:pt>
                <c:pt idx="18">
                  <c:v>39.305301012503421</c:v>
                </c:pt>
                <c:pt idx="19">
                  <c:v>39.304911574009139</c:v>
                </c:pt>
                <c:pt idx="20">
                  <c:v>39.304522135514866</c:v>
                </c:pt>
                <c:pt idx="21">
                  <c:v>39.304132697020584</c:v>
                </c:pt>
                <c:pt idx="22">
                  <c:v>39.30374325852631</c:v>
                </c:pt>
                <c:pt idx="23">
                  <c:v>39.303353820032029</c:v>
                </c:pt>
                <c:pt idx="24">
                  <c:v>39.302964381537748</c:v>
                </c:pt>
                <c:pt idx="25">
                  <c:v>39.302574943043474</c:v>
                </c:pt>
                <c:pt idx="26">
                  <c:v>39.302185504549193</c:v>
                </c:pt>
                <c:pt idx="27">
                  <c:v>39.301796066054919</c:v>
                </c:pt>
                <c:pt idx="28">
                  <c:v>39.301406627560638</c:v>
                </c:pt>
                <c:pt idx="29">
                  <c:v>39.301017189066357</c:v>
                </c:pt>
                <c:pt idx="30">
                  <c:v>39.300627750572083</c:v>
                </c:pt>
                <c:pt idx="31">
                  <c:v>39.300238312077802</c:v>
                </c:pt>
                <c:pt idx="32">
                  <c:v>39.299848873583528</c:v>
                </c:pt>
                <c:pt idx="33">
                  <c:v>39.299459435089247</c:v>
                </c:pt>
                <c:pt idx="34">
                  <c:v>39.299069996594966</c:v>
                </c:pt>
                <c:pt idx="35">
                  <c:v>39.298680558100692</c:v>
                </c:pt>
                <c:pt idx="36">
                  <c:v>39.298291119606411</c:v>
                </c:pt>
                <c:pt idx="37">
                  <c:v>39.297901681112137</c:v>
                </c:pt>
                <c:pt idx="38">
                  <c:v>39.297512242617856</c:v>
                </c:pt>
                <c:pt idx="39">
                  <c:v>39.297122804123582</c:v>
                </c:pt>
                <c:pt idx="40">
                  <c:v>39.296733365629301</c:v>
                </c:pt>
                <c:pt idx="41">
                  <c:v>39.29634392713502</c:v>
                </c:pt>
                <c:pt idx="42">
                  <c:v>39.295954488640746</c:v>
                </c:pt>
                <c:pt idx="43">
                  <c:v>39.295565050146465</c:v>
                </c:pt>
                <c:pt idx="44">
                  <c:v>39.295175611652191</c:v>
                </c:pt>
                <c:pt idx="45">
                  <c:v>39.29478617315791</c:v>
                </c:pt>
                <c:pt idx="46">
                  <c:v>39.294396734663628</c:v>
                </c:pt>
                <c:pt idx="47">
                  <c:v>39.294007296169355</c:v>
                </c:pt>
                <c:pt idx="48">
                  <c:v>39.293617857675073</c:v>
                </c:pt>
                <c:pt idx="49">
                  <c:v>39.293228419180799</c:v>
                </c:pt>
                <c:pt idx="50">
                  <c:v>39.292838980686518</c:v>
                </c:pt>
                <c:pt idx="51">
                  <c:v>39.292449542192244</c:v>
                </c:pt>
                <c:pt idx="52">
                  <c:v>39.292060103697963</c:v>
                </c:pt>
                <c:pt idx="53">
                  <c:v>39.291670665203682</c:v>
                </c:pt>
                <c:pt idx="54">
                  <c:v>39.291281226709408</c:v>
                </c:pt>
                <c:pt idx="55">
                  <c:v>39.290891788215127</c:v>
                </c:pt>
                <c:pt idx="56">
                  <c:v>39.290502349720853</c:v>
                </c:pt>
                <c:pt idx="57">
                  <c:v>39.290112911226572</c:v>
                </c:pt>
                <c:pt idx="58">
                  <c:v>39.289723472732291</c:v>
                </c:pt>
                <c:pt idx="59">
                  <c:v>39.289334034238017</c:v>
                </c:pt>
                <c:pt idx="60">
                  <c:v>39.288944595743736</c:v>
                </c:pt>
                <c:pt idx="61">
                  <c:v>39.288555157249462</c:v>
                </c:pt>
                <c:pt idx="62">
                  <c:v>39.288165718755181</c:v>
                </c:pt>
                <c:pt idx="63">
                  <c:v>39.2877762802609</c:v>
                </c:pt>
                <c:pt idx="64">
                  <c:v>39.287386841766626</c:v>
                </c:pt>
                <c:pt idx="65">
                  <c:v>39.286997403272345</c:v>
                </c:pt>
                <c:pt idx="66">
                  <c:v>39.286607964778071</c:v>
                </c:pt>
                <c:pt idx="67">
                  <c:v>39.28621852628379</c:v>
                </c:pt>
                <c:pt idx="68">
                  <c:v>39.285829087789516</c:v>
                </c:pt>
                <c:pt idx="69">
                  <c:v>39.285439649295235</c:v>
                </c:pt>
                <c:pt idx="70">
                  <c:v>39.285050210800954</c:v>
                </c:pt>
                <c:pt idx="71">
                  <c:v>39.28466077230668</c:v>
                </c:pt>
                <c:pt idx="72">
                  <c:v>39.284271333812399</c:v>
                </c:pt>
                <c:pt idx="73">
                  <c:v>39.283881895318125</c:v>
                </c:pt>
                <c:pt idx="74">
                  <c:v>39.283492456823843</c:v>
                </c:pt>
                <c:pt idx="75">
                  <c:v>39.283103018329562</c:v>
                </c:pt>
                <c:pt idx="76">
                  <c:v>39.282713579835288</c:v>
                </c:pt>
                <c:pt idx="77">
                  <c:v>39.282324141341007</c:v>
                </c:pt>
                <c:pt idx="78">
                  <c:v>39.281934702846733</c:v>
                </c:pt>
                <c:pt idx="79">
                  <c:v>39.281545264352452</c:v>
                </c:pt>
                <c:pt idx="80">
                  <c:v>39.281155825858178</c:v>
                </c:pt>
                <c:pt idx="81">
                  <c:v>39.280766387363897</c:v>
                </c:pt>
                <c:pt idx="82">
                  <c:v>39.280376948869616</c:v>
                </c:pt>
                <c:pt idx="83">
                  <c:v>39.279987510375342</c:v>
                </c:pt>
                <c:pt idx="84">
                  <c:v>39.279598071881061</c:v>
                </c:pt>
                <c:pt idx="85">
                  <c:v>39.279208633386787</c:v>
                </c:pt>
                <c:pt idx="86">
                  <c:v>39.278819194892506</c:v>
                </c:pt>
                <c:pt idx="87">
                  <c:v>39.278429756398225</c:v>
                </c:pt>
                <c:pt idx="88">
                  <c:v>39.278040317903951</c:v>
                </c:pt>
                <c:pt idx="89">
                  <c:v>39.27765087940967</c:v>
                </c:pt>
                <c:pt idx="90">
                  <c:v>39.277261440915396</c:v>
                </c:pt>
                <c:pt idx="91">
                  <c:v>39.276872002421115</c:v>
                </c:pt>
                <c:pt idx="92">
                  <c:v>39.276482563926834</c:v>
                </c:pt>
                <c:pt idx="93">
                  <c:v>39.27609312543256</c:v>
                </c:pt>
                <c:pt idx="94">
                  <c:v>39.275703686938279</c:v>
                </c:pt>
                <c:pt idx="95">
                  <c:v>39.275314248444005</c:v>
                </c:pt>
                <c:pt idx="96">
                  <c:v>39.274924809949724</c:v>
                </c:pt>
                <c:pt idx="97">
                  <c:v>39.27453537145545</c:v>
                </c:pt>
                <c:pt idx="98">
                  <c:v>39.274145932961169</c:v>
                </c:pt>
                <c:pt idx="99">
                  <c:v>39.273756494466888</c:v>
                </c:pt>
                <c:pt idx="100">
                  <c:v>39.273367055972614</c:v>
                </c:pt>
                <c:pt idx="101">
                  <c:v>39.272977617478332</c:v>
                </c:pt>
                <c:pt idx="102">
                  <c:v>39.272588178984059</c:v>
                </c:pt>
                <c:pt idx="103">
                  <c:v>39.272198740489777</c:v>
                </c:pt>
                <c:pt idx="104">
                  <c:v>39.271809301995496</c:v>
                </c:pt>
                <c:pt idx="105">
                  <c:v>39.271419863501222</c:v>
                </c:pt>
                <c:pt idx="106">
                  <c:v>39.271030425006941</c:v>
                </c:pt>
                <c:pt idx="107">
                  <c:v>39.270640986512667</c:v>
                </c:pt>
                <c:pt idx="108">
                  <c:v>39.270251548018386</c:v>
                </c:pt>
                <c:pt idx="109">
                  <c:v>39.269862109524112</c:v>
                </c:pt>
                <c:pt idx="110">
                  <c:v>39.269472671029831</c:v>
                </c:pt>
                <c:pt idx="111">
                  <c:v>39.26908323253555</c:v>
                </c:pt>
                <c:pt idx="112">
                  <c:v>39.268693794041276</c:v>
                </c:pt>
                <c:pt idx="113">
                  <c:v>39.268304355546995</c:v>
                </c:pt>
                <c:pt idx="114">
                  <c:v>39.267914917052721</c:v>
                </c:pt>
                <c:pt idx="115">
                  <c:v>39.26752547855844</c:v>
                </c:pt>
                <c:pt idx="116">
                  <c:v>39.267136040064159</c:v>
                </c:pt>
                <c:pt idx="117">
                  <c:v>39.266746601569885</c:v>
                </c:pt>
                <c:pt idx="118">
                  <c:v>39.266357163075604</c:v>
                </c:pt>
                <c:pt idx="119">
                  <c:v>39.26596772458133</c:v>
                </c:pt>
                <c:pt idx="120">
                  <c:v>39.265578286087049</c:v>
                </c:pt>
                <c:pt idx="121">
                  <c:v>39.265188847592768</c:v>
                </c:pt>
                <c:pt idx="122">
                  <c:v>39.264799409098494</c:v>
                </c:pt>
                <c:pt idx="123">
                  <c:v>39.264409970604213</c:v>
                </c:pt>
                <c:pt idx="124">
                  <c:v>39.264020532109939</c:v>
                </c:pt>
                <c:pt idx="125">
                  <c:v>39.263631093615658</c:v>
                </c:pt>
                <c:pt idx="126">
                  <c:v>39.263241655121384</c:v>
                </c:pt>
                <c:pt idx="127">
                  <c:v>39.262852216627103</c:v>
                </c:pt>
                <c:pt idx="128">
                  <c:v>39.262462778132821</c:v>
                </c:pt>
                <c:pt idx="129">
                  <c:v>39.262073339638548</c:v>
                </c:pt>
                <c:pt idx="130">
                  <c:v>39.261683901144266</c:v>
                </c:pt>
                <c:pt idx="131">
                  <c:v>39.261294462649992</c:v>
                </c:pt>
                <c:pt idx="132">
                  <c:v>39.260905024155711</c:v>
                </c:pt>
                <c:pt idx="133">
                  <c:v>39.26051558566143</c:v>
                </c:pt>
                <c:pt idx="134">
                  <c:v>39.260126147167156</c:v>
                </c:pt>
                <c:pt idx="135">
                  <c:v>39.259736708672875</c:v>
                </c:pt>
                <c:pt idx="136">
                  <c:v>39.259347270178601</c:v>
                </c:pt>
                <c:pt idx="137">
                  <c:v>39.25895783168432</c:v>
                </c:pt>
                <c:pt idx="138">
                  <c:v>39.258568393190046</c:v>
                </c:pt>
                <c:pt idx="139">
                  <c:v>39.258178954695765</c:v>
                </c:pt>
                <c:pt idx="140">
                  <c:v>39.257789516201484</c:v>
                </c:pt>
                <c:pt idx="141">
                  <c:v>39.25740007770721</c:v>
                </c:pt>
                <c:pt idx="142">
                  <c:v>39.257010639212929</c:v>
                </c:pt>
                <c:pt idx="143">
                  <c:v>39.256621200718655</c:v>
                </c:pt>
                <c:pt idx="144">
                  <c:v>39.256231762224374</c:v>
                </c:pt>
                <c:pt idx="145">
                  <c:v>39.255842323730093</c:v>
                </c:pt>
                <c:pt idx="146">
                  <c:v>39.255452885235819</c:v>
                </c:pt>
                <c:pt idx="147">
                  <c:v>39.255063446741538</c:v>
                </c:pt>
                <c:pt idx="148">
                  <c:v>39.254674008247264</c:v>
                </c:pt>
                <c:pt idx="149">
                  <c:v>39.254284569752983</c:v>
                </c:pt>
                <c:pt idx="150">
                  <c:v>39.253895131258702</c:v>
                </c:pt>
                <c:pt idx="151">
                  <c:v>39.253505692764428</c:v>
                </c:pt>
                <c:pt idx="152">
                  <c:v>39.253116254270147</c:v>
                </c:pt>
                <c:pt idx="153">
                  <c:v>39.252726815775873</c:v>
                </c:pt>
                <c:pt idx="154">
                  <c:v>39.252337377281592</c:v>
                </c:pt>
                <c:pt idx="155">
                  <c:v>39.251947938787318</c:v>
                </c:pt>
                <c:pt idx="156">
                  <c:v>39.251558500293037</c:v>
                </c:pt>
                <c:pt idx="157">
                  <c:v>39.251169061798755</c:v>
                </c:pt>
                <c:pt idx="158">
                  <c:v>39.250779623304481</c:v>
                </c:pt>
                <c:pt idx="159">
                  <c:v>39.2503901848102</c:v>
                </c:pt>
                <c:pt idx="160">
                  <c:v>39.250000746315926</c:v>
                </c:pt>
                <c:pt idx="161">
                  <c:v>39.249611307821645</c:v>
                </c:pt>
                <c:pt idx="162">
                  <c:v>39.249221869327364</c:v>
                </c:pt>
                <c:pt idx="163">
                  <c:v>39.24883243083309</c:v>
                </c:pt>
                <c:pt idx="164">
                  <c:v>39.248442992338809</c:v>
                </c:pt>
                <c:pt idx="165">
                  <c:v>39.248053553844535</c:v>
                </c:pt>
                <c:pt idx="166">
                  <c:v>39.247664115350254</c:v>
                </c:pt>
                <c:pt idx="167">
                  <c:v>39.24727467685598</c:v>
                </c:pt>
                <c:pt idx="168">
                  <c:v>39.246885238361699</c:v>
                </c:pt>
                <c:pt idx="169">
                  <c:v>39.246495799867418</c:v>
                </c:pt>
                <c:pt idx="170">
                  <c:v>39.246106361373144</c:v>
                </c:pt>
                <c:pt idx="171">
                  <c:v>39.245716922878863</c:v>
                </c:pt>
                <c:pt idx="172">
                  <c:v>39.245327484384589</c:v>
                </c:pt>
                <c:pt idx="173">
                  <c:v>39.244938045890308</c:v>
                </c:pt>
                <c:pt idx="174">
                  <c:v>39.244548607396027</c:v>
                </c:pt>
                <c:pt idx="175">
                  <c:v>39.244159168901753</c:v>
                </c:pt>
                <c:pt idx="176">
                  <c:v>39.243769730407472</c:v>
                </c:pt>
                <c:pt idx="177">
                  <c:v>39.243380291913198</c:v>
                </c:pt>
                <c:pt idx="178">
                  <c:v>39.242990853418917</c:v>
                </c:pt>
                <c:pt idx="179">
                  <c:v>39.242601414924643</c:v>
                </c:pt>
                <c:pt idx="180">
                  <c:v>39.242211976430362</c:v>
                </c:pt>
                <c:pt idx="181">
                  <c:v>39.241822537936081</c:v>
                </c:pt>
                <c:pt idx="182">
                  <c:v>39.241433099441807</c:v>
                </c:pt>
                <c:pt idx="183">
                  <c:v>39.241043660947525</c:v>
                </c:pt>
                <c:pt idx="184">
                  <c:v>39.240654222453252</c:v>
                </c:pt>
                <c:pt idx="185">
                  <c:v>39.24026478395897</c:v>
                </c:pt>
                <c:pt idx="186">
                  <c:v>39.239875345464689</c:v>
                </c:pt>
                <c:pt idx="187">
                  <c:v>39.239485906970415</c:v>
                </c:pt>
                <c:pt idx="188">
                  <c:v>39.239096468476134</c:v>
                </c:pt>
                <c:pt idx="189">
                  <c:v>39.23870702998186</c:v>
                </c:pt>
                <c:pt idx="190">
                  <c:v>39.238317591487579</c:v>
                </c:pt>
                <c:pt idx="191">
                  <c:v>39.237928152993298</c:v>
                </c:pt>
                <c:pt idx="192">
                  <c:v>39.237538714499024</c:v>
                </c:pt>
                <c:pt idx="193">
                  <c:v>39.237149276004743</c:v>
                </c:pt>
                <c:pt idx="194">
                  <c:v>39.236759837510469</c:v>
                </c:pt>
                <c:pt idx="195">
                  <c:v>39.236370399016188</c:v>
                </c:pt>
                <c:pt idx="196">
                  <c:v>39.235980960521914</c:v>
                </c:pt>
                <c:pt idx="197">
                  <c:v>39.235591522027633</c:v>
                </c:pt>
                <c:pt idx="198">
                  <c:v>39.235202083533352</c:v>
                </c:pt>
                <c:pt idx="199">
                  <c:v>39.234812645039078</c:v>
                </c:pt>
                <c:pt idx="200">
                  <c:v>39.234423206544797</c:v>
                </c:pt>
                <c:pt idx="201">
                  <c:v>39.234033768050523</c:v>
                </c:pt>
                <c:pt idx="202">
                  <c:v>39.233644329556242</c:v>
                </c:pt>
                <c:pt idx="203">
                  <c:v>39.233254891061961</c:v>
                </c:pt>
                <c:pt idx="204">
                  <c:v>39.232865452567687</c:v>
                </c:pt>
                <c:pt idx="205">
                  <c:v>39.232476014073406</c:v>
                </c:pt>
                <c:pt idx="206">
                  <c:v>39.232086575579132</c:v>
                </c:pt>
                <c:pt idx="207">
                  <c:v>39.231697137084851</c:v>
                </c:pt>
                <c:pt idx="208">
                  <c:v>39.231307698590577</c:v>
                </c:pt>
                <c:pt idx="209">
                  <c:v>39.230918260096296</c:v>
                </c:pt>
                <c:pt idx="210">
                  <c:v>39.230528821602014</c:v>
                </c:pt>
                <c:pt idx="211">
                  <c:v>39.230139383107741</c:v>
                </c:pt>
                <c:pt idx="212">
                  <c:v>39.229749944613459</c:v>
                </c:pt>
                <c:pt idx="213">
                  <c:v>39.229360506119185</c:v>
                </c:pt>
                <c:pt idx="214">
                  <c:v>39.228971067624904</c:v>
                </c:pt>
                <c:pt idx="215">
                  <c:v>39.228581629130623</c:v>
                </c:pt>
                <c:pt idx="216">
                  <c:v>39.228192190636349</c:v>
                </c:pt>
                <c:pt idx="217">
                  <c:v>39.227802752142068</c:v>
                </c:pt>
                <c:pt idx="218">
                  <c:v>39.227413313647794</c:v>
                </c:pt>
                <c:pt idx="219">
                  <c:v>39.227023875153513</c:v>
                </c:pt>
                <c:pt idx="220">
                  <c:v>39.226634436659232</c:v>
                </c:pt>
                <c:pt idx="221">
                  <c:v>39.226244998164958</c:v>
                </c:pt>
                <c:pt idx="222">
                  <c:v>39.225855559670677</c:v>
                </c:pt>
                <c:pt idx="223">
                  <c:v>39.225466121176403</c:v>
                </c:pt>
                <c:pt idx="224">
                  <c:v>39.225076682682122</c:v>
                </c:pt>
                <c:pt idx="225">
                  <c:v>39.224687244187848</c:v>
                </c:pt>
                <c:pt idx="226">
                  <c:v>39.224297805693567</c:v>
                </c:pt>
                <c:pt idx="227">
                  <c:v>39.223908367199286</c:v>
                </c:pt>
                <c:pt idx="228">
                  <c:v>39.223518928705012</c:v>
                </c:pt>
                <c:pt idx="229">
                  <c:v>39.223129490210731</c:v>
                </c:pt>
                <c:pt idx="230">
                  <c:v>39.222740051716457</c:v>
                </c:pt>
                <c:pt idx="231">
                  <c:v>39.222350613222176</c:v>
                </c:pt>
                <c:pt idx="232">
                  <c:v>39.221961174727895</c:v>
                </c:pt>
                <c:pt idx="233">
                  <c:v>39.221571736233621</c:v>
                </c:pt>
                <c:pt idx="234">
                  <c:v>39.22118229773934</c:v>
                </c:pt>
                <c:pt idx="235">
                  <c:v>39.220792859245066</c:v>
                </c:pt>
                <c:pt idx="236">
                  <c:v>39.220403420750785</c:v>
                </c:pt>
                <c:pt idx="237">
                  <c:v>39.220013982256511</c:v>
                </c:pt>
                <c:pt idx="238">
                  <c:v>39.21962454376223</c:v>
                </c:pt>
                <c:pt idx="239">
                  <c:v>39.219235105267948</c:v>
                </c:pt>
                <c:pt idx="240">
                  <c:v>39.218845666773674</c:v>
                </c:pt>
                <c:pt idx="241">
                  <c:v>39.218456228279393</c:v>
                </c:pt>
                <c:pt idx="242">
                  <c:v>39.218066789785119</c:v>
                </c:pt>
                <c:pt idx="243">
                  <c:v>39.217677351290838</c:v>
                </c:pt>
                <c:pt idx="244">
                  <c:v>39.217287912796557</c:v>
                </c:pt>
                <c:pt idx="245">
                  <c:v>39.216898474302283</c:v>
                </c:pt>
                <c:pt idx="246">
                  <c:v>39.216509035808002</c:v>
                </c:pt>
                <c:pt idx="247">
                  <c:v>39.216119597313728</c:v>
                </c:pt>
                <c:pt idx="248">
                  <c:v>39.215730158819447</c:v>
                </c:pt>
                <c:pt idx="249">
                  <c:v>39.215340720325166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C6-44AC-A888-3E0991ED5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203976"/>
        <c:axId val="1149206024"/>
      </c:scatterChart>
      <c:valAx>
        <c:axId val="1149203976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Rank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206024"/>
        <c:crosses val="autoZero"/>
        <c:crossBetween val="midCat"/>
      </c:valAx>
      <c:valAx>
        <c:axId val="1149206024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(Y)</a:t>
                </a:r>
              </a:p>
            </c:rich>
          </c:tx>
          <c:layout>
            <c:manualLayout>
              <c:xMode val="edge"/>
              <c:yMode val="edge"/>
              <c:x val="1.8488342052831022E-2"/>
              <c:y val="0.346754597913527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203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9525</xdr:rowOff>
    </xdr:from>
    <xdr:to>
      <xdr:col>15</xdr:col>
      <xdr:colOff>28575</xdr:colOff>
      <xdr:row>23</xdr:row>
      <xdr:rowOff>95250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FE6AB10-BE91-65C0-5420-0BC352DADAEE}"/>
            </a:ext>
          </a:extLst>
        </xdr:cNvPr>
        <xdr:cNvSpPr txBox="1"/>
      </xdr:nvSpPr>
      <xdr:spPr>
        <a:xfrm>
          <a:off x="3324225" y="257175"/>
          <a:ext cx="7324725" cy="427672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Statistical Insight – Interpretation of the results</a:t>
          </a:r>
          <a:endParaRPr lang="en-US" sz="1200" b="0" i="0" u="none" strike="noStrike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 b="0" i="0" u="none" strike="noStrike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• The analysed sample consists of the individuals belonging to the group selected in the “Sample” sheet.</a:t>
          </a:r>
        </a:p>
        <a:p>
          <a:pPr marL="0" indent="0" algn="l"/>
          <a:r>
            <a:rPr lang="en-US" sz="1200" b="0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• The </a:t>
          </a:r>
          <a:r>
            <a:rPr lang="en-US" sz="1200" b="1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STANDARD DEVIATION (STDDEV</a:t>
          </a:r>
          <a:r>
            <a:rPr lang="en-US" sz="1200" b="0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) measures how much the ages in the sample are spread around the mean: a higher value indicates greater variability in ages.</a:t>
          </a:r>
        </a:p>
        <a:p>
          <a:pPr marL="0" indent="0" algn="l"/>
          <a:r>
            <a:rPr lang="en-US" sz="1200" b="0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• The </a:t>
          </a:r>
          <a:r>
            <a:rPr lang="en-US" sz="1200" b="1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EXPECTED VALUE</a:t>
          </a:r>
          <a:r>
            <a:rPr lang="en-US" sz="1200" b="0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 represents the sample mean of ages and is used as an estimate of the mean age in the simulated population of Luggnagg.</a:t>
          </a:r>
        </a:p>
        <a:p>
          <a:pPr marL="0" indent="0" algn="l"/>
          <a:r>
            <a:rPr lang="en-US" sz="1200" b="0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• COUNT indicates the actual number of observations in the sample, i.e. how many individuals belong to the selected group.</a:t>
          </a:r>
        </a:p>
        <a:p>
          <a:pPr marL="0" indent="0" algn="l"/>
          <a:r>
            <a:rPr lang="en-US" sz="1200" b="0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• The </a:t>
          </a:r>
          <a:r>
            <a:rPr lang="en-US" sz="1200" b="1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CONFIDENCE RATE</a:t>
          </a:r>
          <a:r>
            <a:rPr lang="en-US" sz="1200" b="0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 corresponds to the confidence level set in the “Parameters” sheet (for example 95%) and expresses how reliable we consider the confidence interval to be.</a:t>
          </a:r>
        </a:p>
        <a:p>
          <a:pPr marL="0" indent="0" algn="l"/>
          <a:r>
            <a:rPr lang="en-US" sz="1200" b="0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• The </a:t>
          </a:r>
          <a:r>
            <a:rPr lang="en-US" sz="1200" b="1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ESTIMATION OF P PARAMETER</a:t>
          </a:r>
          <a:r>
            <a:rPr lang="en-US" sz="1200" b="0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 corresponds to the p-value of a two-tailed Z-test of the null hypothesis that the sample mean age is equal to the population mean specified in the “Parameters” sheet. A small p-value (typically below 0.05) provides evidence against this null hypothesis.</a:t>
          </a:r>
        </a:p>
        <a:p>
          <a:pPr marL="0" indent="0" algn="l"/>
          <a:r>
            <a:rPr lang="en-US" sz="1200" b="0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• The </a:t>
          </a:r>
          <a:r>
            <a:rPr lang="en-US" sz="1200" b="1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CONFIDENCE INTERVAL</a:t>
          </a:r>
          <a:r>
            <a:rPr lang="en-US" sz="1200" b="0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 provides the range of plausible values for the true mean age of the Luggnagg population, given the chosen confidence level and assuming that the sample is random and sufficiently large.</a:t>
          </a:r>
        </a:p>
        <a:p>
          <a:pPr marL="0" indent="0" algn="l"/>
          <a:r>
            <a:rPr lang="en-US" sz="1200" b="0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• The validity of these conclusions depends on the fact that the sample is randomly selected and representative of the simulated population of Luggnagg.</a:t>
          </a:r>
        </a:p>
        <a:p>
          <a:pPr marL="0" indent="0" algn="l"/>
          <a:r>
            <a:rPr lang="en-US" sz="1200" b="0" i="0" u="none" strike="noStrike">
              <a:solidFill>
                <a:schemeClr val="dk1"/>
              </a:solidFill>
              <a:latin typeface="+mn-lt"/>
              <a:ea typeface="+mn-lt"/>
              <a:cs typeface="+mn-lt"/>
            </a:rPr>
            <a:t>• In our case, the estimated p-value is about 0.17, so at the 5% significance level we do not reject the null hypothesis that the sample mean equals the population mean. The 95% confidence interval for the mean age is approximately [39.23 ; 45.25], which means that, given the chosen confidence level, it is reasonable to expect that the true mean age in the simulated population lies between about 39 and 45 years.</a:t>
          </a:r>
          <a:endParaRPr lang="en-US" sz="1100" b="0" i="0" u="none" strike="noStrike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7</xdr:row>
      <xdr:rowOff>19050</xdr:rowOff>
    </xdr:from>
    <xdr:to>
      <xdr:col>8</xdr:col>
      <xdr:colOff>180975</xdr:colOff>
      <xdr:row>22</xdr:row>
      <xdr:rowOff>142875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EF1DABC8-94CD-1A04-21B7-88E943CF39D6}"/>
            </a:ext>
          </a:extLst>
        </xdr:cNvPr>
        <xdr:cNvSpPr txBox="1"/>
      </xdr:nvSpPr>
      <xdr:spPr>
        <a:xfrm>
          <a:off x="4476750" y="1409700"/>
          <a:ext cx="6591300" cy="298132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Correlation insight – Interpretation of the results</a:t>
          </a:r>
          <a:endParaRPr lang="en-US" sz="1200">
            <a:latin typeface="+mn-lt"/>
            <a:ea typeface="+mn-lt"/>
            <a:cs typeface="+mn-lt"/>
          </a:endParaRPr>
        </a:p>
        <a:p>
          <a:pPr marL="0" indent="0" algn="l"/>
          <a:endParaRPr lang="en-US" sz="1200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• The column “Sample data” contains the ages of the individuals selected in the sample.  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• “Number of cats” is a random variable generated independently of age. The correlation 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  Corr(Age, Number of cats) is therefore close to 0, which indicates that these two variables 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  are essentially uncorrelated.  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• “Age of partner” is constructed starting from the individual’s age plus a small random noise. 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  As a consequence, the correlation Corr(Age, Age of partner) is very high and positive, 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  showing a strong linear relationship between the two variables.  </a:t>
          </a:r>
        </a:p>
        <a:p>
          <a:pPr marL="0" indent="0" algn="l"/>
          <a:endParaRPr lang="en-US" sz="1200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This sheet illustrates the difference between variables that are (almost) uncorrelated and variables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that are strongly correlated, using simple simulated examples.</a:t>
          </a:r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Note: correlation does not imply causation. A high correlation indicates a strong association between variables, but it does not prove that one variable is the cause of the other.</a:t>
          </a:r>
          <a:endParaRPr lang="en-US" sz="1100" b="0" i="0" u="none" strike="noStrike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3</xdr:col>
      <xdr:colOff>600075</xdr:colOff>
      <xdr:row>2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5" name="CasellaDiTesto 2">
          <a:extLst>
            <a:ext uri="{FF2B5EF4-FFF2-40B4-BE49-F238E27FC236}">
              <a16:creationId xmlns:a16="http://schemas.microsoft.com/office/drawing/2014/main" id="{0499081F-4E76-4C51-9BE6-1EE40374A700}"/>
            </a:ext>
            <a:ext uri="{147F2762-F138-4A5C-976F-8EAC2B608ADB}">
              <a16:predDERef xmlns:a16="http://schemas.microsoft.com/office/drawing/2014/main" pred="{EF1DABC8-94CD-1A04-21B7-88E943CF39D6}"/>
            </a:ext>
          </a:extLst>
        </xdr:cNvPr>
        <xdr:cNvSpPr txBox="1"/>
      </xdr:nvSpPr>
      <xdr:spPr>
        <a:xfrm>
          <a:off x="4486275" y="438150"/>
          <a:ext cx="200025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In our simulation, Corr(Age, Number of cats) ≈ 0.16, confirming a very weak linear relationship.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9525</xdr:colOff>
      <xdr:row>2</xdr:row>
      <xdr:rowOff>0</xdr:rowOff>
    </xdr:from>
    <xdr:to>
      <xdr:col>6</xdr:col>
      <xdr:colOff>9525</xdr:colOff>
      <xdr:row>5</xdr:row>
      <xdr:rowOff>171450</xdr:rowOff>
    </xdr:to>
    <xdr:sp macro="" textlink="">
      <xdr:nvSpPr>
        <xdr:cNvPr id="6" name="CasellaDiTesto 3">
          <a:extLst>
            <a:ext uri="{FF2B5EF4-FFF2-40B4-BE49-F238E27FC236}">
              <a16:creationId xmlns:a16="http://schemas.microsoft.com/office/drawing/2014/main" id="{077FFE97-A432-4965-9351-E06AA1F7EE83}"/>
            </a:ext>
            <a:ext uri="{147F2762-F138-4A5C-976F-8EAC2B608ADB}">
              <a16:predDERef xmlns:a16="http://schemas.microsoft.com/office/drawing/2014/main" pred="{0499081F-4E76-4C51-9BE6-1EE40374A700}"/>
            </a:ext>
          </a:extLst>
        </xdr:cNvPr>
        <xdr:cNvSpPr txBox="1"/>
      </xdr:nvSpPr>
      <xdr:spPr>
        <a:xfrm>
          <a:off x="6496050" y="438150"/>
          <a:ext cx="1933575" cy="742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In our simulation, Corr(Age, Age of partner) ≈ 0.96, indicating a very strong positive linear relationship.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676275</xdr:colOff>
      <xdr:row>3</xdr:row>
      <xdr:rowOff>9525</xdr:rowOff>
    </xdr:from>
    <xdr:to>
      <xdr:col>14</xdr:col>
      <xdr:colOff>533400</xdr:colOff>
      <xdr:row>17</xdr:row>
      <xdr:rowOff>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B82E261-79E3-DF7E-B34B-A0FC68992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676275</xdr:colOff>
      <xdr:row>18</xdr:row>
      <xdr:rowOff>9525</xdr:rowOff>
    </xdr:from>
    <xdr:to>
      <xdr:col>14</xdr:col>
      <xdr:colOff>561975</xdr:colOff>
      <xdr:row>34</xdr:row>
      <xdr:rowOff>19050</xdr:rowOff>
    </xdr:to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C20F572F-C38F-AC20-C352-F81388C4D422}"/>
            </a:ext>
            <a:ext uri="{147F2762-F138-4A5C-976F-8EAC2B608ADB}">
              <a16:predDERef xmlns:a16="http://schemas.microsoft.com/office/drawing/2014/main" pred="{3B82E261-79E3-DF7E-B34B-A0FC68992656}"/>
            </a:ext>
          </a:extLst>
        </xdr:cNvPr>
        <xdr:cNvSpPr txBox="1"/>
      </xdr:nvSpPr>
      <xdr:spPr>
        <a:xfrm>
          <a:off x="8048625" y="3495675"/>
          <a:ext cx="5829300" cy="305752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Linear Regression – Interpretation of the results</a:t>
          </a:r>
          <a:endParaRPr lang="en-US" sz="1200">
            <a:latin typeface="+mn-lt"/>
            <a:ea typeface="+mn-lt"/>
            <a:cs typeface="+mn-lt"/>
          </a:endParaRPr>
        </a:p>
        <a:p>
          <a:pPr marL="0" indent="0" algn="l"/>
          <a:endParaRPr lang="en-US" sz="1200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• In this sheet, Y represents the age of each individual and X represents the census rank 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  (position in the dataset from 1 to 250).  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• The scatterplot shows how ages are distributed with respect to the rank. Since ages were 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  generated independently of the rank, no clear increasing or decreasing trend is expected.  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• The regression line is estimated using the pair (X, Y) and can be written as: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  Y = m · X + q, where m is the Slope and q is the Intercept reported in the table.  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• The value “Predicted age (X = 160)” represents the age estimated by the regression model 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  for the individual with rank 160 in the census. This allows us to use the linear model to 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  make predictions based on the X variable, even if in this simulation the true relationship 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  between age and rank is essentially random.</a:t>
          </a:r>
          <a:endParaRPr lang="en-US" sz="12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• The coefficient of determination R² is approximately 0.000007, which is essentially equal to zero. This means that the census rank explains virtually none of the variability in age, confirming the absence of a meaningful linear relationship between X and Y.</a:t>
          </a:r>
          <a:endParaRPr lang="en-US" sz="1100" b="0" i="0" u="none" strike="noStrike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lvatore Spagnolo" id="{6BF96963-00D0-4CA0-821F-DCDBA5BC80A5}" userId="6bb681d09c4e5aed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F91EF2-041C-4F02-9620-BEEF39CA09E3}" name="tbl_Data_AgeGroup_Luggnagg" displayName="tbl_Data_AgeGroup_Luggnagg" ref="A1:B251" totalsRowShown="0" dataDxfId="32" headerRowBorderDxfId="30" tableBorderDxfId="31">
  <autoFilter ref="A1:B251" xr:uid="{FDF91EF2-041C-4F02-9620-BEEF39CA09E3}"/>
  <tableColumns count="2">
    <tableColumn id="1" xr3:uid="{1D279F95-ABD1-4B8F-803E-21E474585CC0}" name="Age" dataDxfId="29"/>
    <tableColumn id="2" xr3:uid="{C813F0F9-14E1-465A-B880-C7C9F7C3AE46}" name="Group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1A918F-ECFC-43DD-8465-3A7424246E24}" name="tbl_Luggnagg_SubSampleByGroup" displayName="tbl_Luggnagg_SubSampleByGroup" ref="A1:C251" totalsRowShown="0" dataDxfId="27" headerRowBorderDxfId="25" tableBorderDxfId="26">
  <autoFilter ref="A1:C251" xr:uid="{A31A918F-ECFC-43DD-8465-3A7424246E24}"/>
  <tableColumns count="3">
    <tableColumn id="1" xr3:uid="{472353C5-A2EE-4ADB-9792-922B459DAA13}" name="Age" dataDxfId="24">
      <calculatedColumnFormula>Data!A2</calculatedColumnFormula>
    </tableColumn>
    <tableColumn id="2" xr3:uid="{3DD94952-72AF-46D0-BC49-16BFF2F19C04}" name="Group" dataDxfId="23">
      <calculatedColumnFormula>Data!B2</calculatedColumnFormula>
    </tableColumn>
    <tableColumn id="3" xr3:uid="{E9081C2C-EF95-4511-A87B-C1798BB2809A}" name="Sample (by group)" dataDxfId="22">
      <calculatedColumnFormula>IF(B2=$E$2,A2,"")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526ABE-126F-4465-8A33-9E3011841B58}" name="tbl_Luggnagg_StatisticalInsight" displayName="tbl_Luggnagg_StatisticalInsight" ref="A1:B9" totalsRowShown="0" dataDxfId="21" headerRowBorderDxfId="19" tableBorderDxfId="20">
  <autoFilter ref="A1:B9" xr:uid="{28526ABE-126F-4465-8A33-9E3011841B58}"/>
  <tableColumns count="2">
    <tableColumn id="1" xr3:uid="{B43EDC87-F77F-426C-AFB1-0D9D48FBFC49}" name="Measure" dataDxfId="18"/>
    <tableColumn id="2" xr3:uid="{9B009C48-E343-41B5-BAA2-2F7D571678AE}" name="Value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5E78BD-A142-42FF-9430-CF54A94B810F}" name="tbl_Luggnagg_UncorrelatedVars" displayName="tbl_Luggnagg_UncorrelatedVars" ref="A1:C54" totalsRowShown="0" dataDxfId="16" headerRowBorderDxfId="14" tableBorderDxfId="15" totalsRowBorderDxfId="13">
  <autoFilter ref="A1:C54" xr:uid="{765E78BD-A142-42FF-9430-CF54A94B810F}"/>
  <tableColumns count="3">
    <tableColumn id="1" xr3:uid="{42EB242D-3C3F-4F25-82AA-CC02288B0CF6}" name="Sample data" dataDxfId="12"/>
    <tableColumn id="2" xr3:uid="{F2B7A869-FAE5-4AAD-BE23-EAC2B115B96A}" name="Number of cats" dataDxfId="11"/>
    <tableColumn id="3" xr3:uid="{5DAEB62D-FFA0-45A6-93B0-7D48ECE67AE0}" name="Age of partner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B15C71-9815-4D8F-86D7-7676E5218C80}" name="tbl_Luggnagg_LinearRegression" displayName="tbl_Luggnagg_LinearRegression" ref="A1:G251" totalsRowShown="0" dataDxfId="9" headerRowBorderDxfId="7" tableBorderDxfId="8">
  <autoFilter ref="A1:G251" xr:uid="{B1B15C71-9815-4D8F-86D7-7676E5218C80}"/>
  <tableColumns count="7">
    <tableColumn id="1" xr3:uid="{6B541A49-A52E-4EDC-A19C-95190DA1C9DC}" name="Y (age)" dataDxfId="6">
      <calculatedColumnFormula>Data!A2</calculatedColumnFormula>
    </tableColumn>
    <tableColumn id="2" xr3:uid="{52249F0B-5B18-4D4F-8C0F-AA71BBA88A1A}" name="X (rank)" dataDxfId="5"/>
    <tableColumn id="3" xr3:uid="{C6A6BD06-0D31-4A35-9629-DB49D96F14E8}" name="Slope" dataDxfId="4">
      <calculatedColumnFormula>SLOPE(A2:A251,B2:B251)</calculatedColumnFormula>
    </tableColumn>
    <tableColumn id="4" xr3:uid="{12412AE6-34D0-4DF3-947C-5EED8FAB8B05}" name="Intercept" dataDxfId="3">
      <calculatedColumnFormula>INTERCEPT(A2:A251,B2:B251)</calculatedColumnFormula>
    </tableColumn>
    <tableColumn id="5" xr3:uid="{DDAC9B26-3023-4299-9B4A-4974C6E83E1B}" name="Regression line" dataDxfId="2">
      <calculatedColumnFormula>"Y = " &amp; TEXT($C$2,"0,000") &amp; " * X + " &amp; TEXT($D$2,"0,000")</calculatedColumnFormula>
    </tableColumn>
    <tableColumn id="6" xr3:uid="{5FECF182-17E9-4C0C-BB37-3F5AAC202236}" name="Predicted age (X=160)" dataDxfId="1">
      <calculatedColumnFormula>$C$2*160 + $D$2</calculatedColumnFormula>
    </tableColumn>
    <tableColumn id="7" xr3:uid="{3D92A822-313F-4B08-9B9A-1BA462E866EF}" name="Fitted age" dataDxfId="0">
      <calculatedColumnFormula>$C$2*B2 + $D$2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12-05T08:14:16.23" personId="{6BF96963-00D0-4CA0-821F-DCDBA5BC80A5}" id="{A8A3169D-F2B6-487F-AB3E-7D4DADE430B1}">
    <text xml:space="preserve">=INV.NORM.N(CASUALE();Parameters!$B$3;Parameters!$B$4)
</text>
  </threadedComment>
  <threadedComment ref="B2" dT="2025-12-05T08:15:04.62" personId="{6BF96963-00D0-4CA0-821F-DCDBA5BC80A5}" id="{3B680286-EF9D-49C0-A797-CB032ED78A46}">
    <text xml:space="preserve">=CASUALE.TRA(1;4)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5-12-09T11:19:02.06" personId="{6BF96963-00D0-4CA0-821F-DCDBA5BC80A5}" id="{6C7522B8-0E6E-4007-AD93-72D9B4D2A459}">
    <text xml:space="preserve">=CASUALE.TRA(0;5)
</text>
  </threadedComment>
  <threadedComment ref="C2" dT="2025-12-09T11:19:35.73" personId="{6BF96963-00D0-4CA0-821F-DCDBA5BC80A5}" id="{5567382C-A911-45EF-83B0-A393B28867E6}">
    <text xml:space="preserve">=SE(A2="";"";A2+CASUALE.TRA(-5;5))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showGridLines="0" tabSelected="1" workbookViewId="0">
      <selection activeCell="B2" sqref="B2"/>
    </sheetView>
  </sheetViews>
  <sheetFormatPr defaultRowHeight="15"/>
  <cols>
    <col min="1" max="1" width="15.140625" bestFit="1" customWidth="1"/>
    <col min="2" max="2" width="6.85546875" bestFit="1" customWidth="1"/>
    <col min="3" max="3" width="11.7109375" bestFit="1" customWidth="1"/>
  </cols>
  <sheetData>
    <row r="1" spans="1:2" ht="19.5">
      <c r="A1" s="3" t="s">
        <v>0</v>
      </c>
      <c r="B1" s="1" t="s">
        <v>1</v>
      </c>
    </row>
    <row r="2" spans="1:2" ht="19.5">
      <c r="A2" s="1" t="s">
        <v>2</v>
      </c>
      <c r="B2" s="5">
        <v>0.95</v>
      </c>
    </row>
    <row r="3" spans="1:2" ht="19.5">
      <c r="A3" s="1" t="s">
        <v>3</v>
      </c>
      <c r="B3" s="6">
        <v>40</v>
      </c>
    </row>
    <row r="4" spans="1:2" ht="19.5">
      <c r="A4" s="1" t="s">
        <v>4</v>
      </c>
      <c r="B4" s="6">
        <v>12</v>
      </c>
    </row>
  </sheetData>
  <dataValidations count="1">
    <dataValidation type="decimal" allowBlank="1" showInputMessage="1" showErrorMessage="1" error="Invalid value: the probability must be a number between 0 and 1" prompt="Enter a value between 0 and 1" sqref="B2" xr:uid="{68E2DB64-CF99-4122-8AF5-7BBC0BF255EF}">
      <formula1>0</formula1>
      <formula2>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F9FA-A381-413A-95A4-6B2AEAD3E850}">
  <dimension ref="A1:B251"/>
  <sheetViews>
    <sheetView showGridLines="0" workbookViewId="0">
      <pane ySplit="1" topLeftCell="A2" activePane="bottomLeft" state="frozen"/>
      <selection pane="bottomLeft" activeCell="J4" sqref="J4"/>
    </sheetView>
  </sheetViews>
  <sheetFormatPr defaultRowHeight="15"/>
  <cols>
    <col min="1" max="1" width="7.5703125" style="7" bestFit="1" customWidth="1"/>
    <col min="2" max="2" width="9.7109375" style="12" bestFit="1" customWidth="1"/>
  </cols>
  <sheetData>
    <row r="1" spans="1:2" ht="19.5">
      <c r="A1" s="13" t="s">
        <v>5</v>
      </c>
      <c r="B1" s="14" t="s">
        <v>6</v>
      </c>
    </row>
    <row r="2" spans="1:2">
      <c r="A2" s="15">
        <v>30.667001851053044</v>
      </c>
      <c r="B2" s="16">
        <v>3</v>
      </c>
    </row>
    <row r="3" spans="1:2">
      <c r="A3" s="17">
        <v>36.335167882277396</v>
      </c>
      <c r="B3" s="18">
        <v>3</v>
      </c>
    </row>
    <row r="4" spans="1:2">
      <c r="A4" s="17">
        <v>33.424058748812577</v>
      </c>
      <c r="B4" s="18">
        <v>4</v>
      </c>
    </row>
    <row r="5" spans="1:2">
      <c r="A5" s="17">
        <v>52.576527877855312</v>
      </c>
      <c r="B5" s="18">
        <v>4</v>
      </c>
    </row>
    <row r="6" spans="1:2">
      <c r="A6" s="17">
        <v>48.4663056313968</v>
      </c>
      <c r="B6" s="18">
        <v>3</v>
      </c>
    </row>
    <row r="7" spans="1:2">
      <c r="A7" s="17">
        <v>36.752010579693462</v>
      </c>
      <c r="B7" s="18">
        <v>4</v>
      </c>
    </row>
    <row r="8" spans="1:2">
      <c r="A8" s="17">
        <v>22.097907202231319</v>
      </c>
      <c r="B8" s="18">
        <v>1</v>
      </c>
    </row>
    <row r="9" spans="1:2">
      <c r="A9" s="17">
        <v>61.275853899268327</v>
      </c>
      <c r="B9" s="18">
        <v>3</v>
      </c>
    </row>
    <row r="10" spans="1:2">
      <c r="A10" s="17">
        <v>50.570993443890671</v>
      </c>
      <c r="B10" s="18">
        <v>3</v>
      </c>
    </row>
    <row r="11" spans="1:2">
      <c r="A11" s="17">
        <v>35.273006871487667</v>
      </c>
      <c r="B11" s="18">
        <v>3</v>
      </c>
    </row>
    <row r="12" spans="1:2">
      <c r="A12" s="17">
        <v>46.206611839455739</v>
      </c>
      <c r="B12" s="18">
        <v>3</v>
      </c>
    </row>
    <row r="13" spans="1:2">
      <c r="A13" s="17">
        <v>33.598832765397603</v>
      </c>
      <c r="B13" s="18">
        <v>2</v>
      </c>
    </row>
    <row r="14" spans="1:2">
      <c r="A14" s="17">
        <v>45.913556542368767</v>
      </c>
      <c r="B14" s="18">
        <v>1</v>
      </c>
    </row>
    <row r="15" spans="1:2">
      <c r="A15" s="17">
        <v>39.776334614844551</v>
      </c>
      <c r="B15" s="18">
        <v>1</v>
      </c>
    </row>
    <row r="16" spans="1:2">
      <c r="A16" s="17">
        <v>50.795225224051606</v>
      </c>
      <c r="B16" s="18">
        <v>2</v>
      </c>
    </row>
    <row r="17" spans="1:2">
      <c r="A17" s="17">
        <v>55.88574312071394</v>
      </c>
      <c r="B17" s="18">
        <v>3</v>
      </c>
    </row>
    <row r="18" spans="1:2">
      <c r="A18" s="17">
        <v>39.241828787817028</v>
      </c>
      <c r="B18" s="18">
        <v>2</v>
      </c>
    </row>
    <row r="19" spans="1:2">
      <c r="A19" s="17">
        <v>39.759026569182801</v>
      </c>
      <c r="B19" s="18">
        <v>3</v>
      </c>
    </row>
    <row r="20" spans="1:2">
      <c r="A20" s="17">
        <v>31.975039122946296</v>
      </c>
      <c r="B20" s="18">
        <v>2</v>
      </c>
    </row>
    <row r="21" spans="1:2">
      <c r="A21" s="17">
        <v>61.958144381574463</v>
      </c>
      <c r="B21" s="18">
        <v>2</v>
      </c>
    </row>
    <row r="22" spans="1:2">
      <c r="A22" s="17">
        <v>33.032514156848691</v>
      </c>
      <c r="B22" s="18">
        <v>2</v>
      </c>
    </row>
    <row r="23" spans="1:2">
      <c r="A23" s="17">
        <v>45.55343971698818</v>
      </c>
      <c r="B23" s="18">
        <v>4</v>
      </c>
    </row>
    <row r="24" spans="1:2">
      <c r="A24" s="17">
        <v>24.520969916755327</v>
      </c>
      <c r="B24" s="18">
        <v>3</v>
      </c>
    </row>
    <row r="25" spans="1:2">
      <c r="A25" s="17">
        <v>26.059147312646814</v>
      </c>
      <c r="B25" s="18">
        <v>4</v>
      </c>
    </row>
    <row r="26" spans="1:2">
      <c r="A26" s="17">
        <v>53.437461054099337</v>
      </c>
      <c r="B26" s="18">
        <v>1</v>
      </c>
    </row>
    <row r="27" spans="1:2">
      <c r="A27" s="17">
        <v>13.702593737603131</v>
      </c>
      <c r="B27" s="18">
        <v>2</v>
      </c>
    </row>
    <row r="28" spans="1:2">
      <c r="A28" s="17">
        <v>24.187549200110851</v>
      </c>
      <c r="B28" s="18">
        <v>2</v>
      </c>
    </row>
    <row r="29" spans="1:2">
      <c r="A29" s="17">
        <v>36.235221249877348</v>
      </c>
      <c r="B29" s="18">
        <v>3</v>
      </c>
    </row>
    <row r="30" spans="1:2">
      <c r="A30" s="17">
        <v>41.47316848654367</v>
      </c>
      <c r="B30" s="18">
        <v>2</v>
      </c>
    </row>
    <row r="31" spans="1:2">
      <c r="A31" s="17">
        <v>41.198725531294201</v>
      </c>
      <c r="B31" s="18">
        <v>4</v>
      </c>
    </row>
    <row r="32" spans="1:2">
      <c r="A32" s="17">
        <v>59.200101457589405</v>
      </c>
      <c r="B32" s="18">
        <v>1</v>
      </c>
    </row>
    <row r="33" spans="1:2">
      <c r="A33" s="17">
        <v>54.054615028688445</v>
      </c>
      <c r="B33" s="18">
        <v>4</v>
      </c>
    </row>
    <row r="34" spans="1:2">
      <c r="A34" s="17">
        <v>41.826754514426689</v>
      </c>
      <c r="B34" s="18">
        <v>2</v>
      </c>
    </row>
    <row r="35" spans="1:2">
      <c r="A35" s="17">
        <v>25.053513054954479</v>
      </c>
      <c r="B35" s="18">
        <v>4</v>
      </c>
    </row>
    <row r="36" spans="1:2">
      <c r="A36" s="17">
        <v>39.07267842455412</v>
      </c>
      <c r="B36" s="18">
        <v>2</v>
      </c>
    </row>
    <row r="37" spans="1:2">
      <c r="A37" s="17">
        <v>31.821589738112348</v>
      </c>
      <c r="B37" s="18">
        <v>2</v>
      </c>
    </row>
    <row r="38" spans="1:2">
      <c r="A38" s="17">
        <v>29.230441863480507</v>
      </c>
      <c r="B38" s="18">
        <v>2</v>
      </c>
    </row>
    <row r="39" spans="1:2">
      <c r="A39" s="17">
        <v>31.796103980490635</v>
      </c>
      <c r="B39" s="18">
        <v>3</v>
      </c>
    </row>
    <row r="40" spans="1:2">
      <c r="A40" s="17">
        <v>39.152870703837422</v>
      </c>
      <c r="B40" s="18">
        <v>4</v>
      </c>
    </row>
    <row r="41" spans="1:2">
      <c r="A41" s="17">
        <v>22.554208480323876</v>
      </c>
      <c r="B41" s="18">
        <v>2</v>
      </c>
    </row>
    <row r="42" spans="1:2">
      <c r="A42" s="17">
        <v>33.641128309332728</v>
      </c>
      <c r="B42" s="18">
        <v>2</v>
      </c>
    </row>
    <row r="43" spans="1:2">
      <c r="A43" s="17">
        <v>47.806128520129242</v>
      </c>
      <c r="B43" s="18">
        <v>4</v>
      </c>
    </row>
    <row r="44" spans="1:2">
      <c r="A44" s="17">
        <v>31.09147211647273</v>
      </c>
      <c r="B44" s="18">
        <v>1</v>
      </c>
    </row>
    <row r="45" spans="1:2">
      <c r="A45" s="17">
        <v>37.886746621193424</v>
      </c>
      <c r="B45" s="18">
        <v>2</v>
      </c>
    </row>
    <row r="46" spans="1:2">
      <c r="A46" s="17">
        <v>30.965765530816324</v>
      </c>
      <c r="B46" s="18">
        <v>2</v>
      </c>
    </row>
    <row r="47" spans="1:2">
      <c r="A47" s="17">
        <v>50.771440343585454</v>
      </c>
      <c r="B47" s="18">
        <v>2</v>
      </c>
    </row>
    <row r="48" spans="1:2">
      <c r="A48" s="17">
        <v>21.16762538627902</v>
      </c>
      <c r="B48" s="18">
        <v>3</v>
      </c>
    </row>
    <row r="49" spans="1:2">
      <c r="A49" s="17">
        <v>54.671996200986776</v>
      </c>
      <c r="B49" s="18">
        <v>2</v>
      </c>
    </row>
    <row r="50" spans="1:2">
      <c r="A50" s="17">
        <v>31.295929048042414</v>
      </c>
      <c r="B50" s="18">
        <v>3</v>
      </c>
    </row>
    <row r="51" spans="1:2">
      <c r="A51" s="17">
        <v>44.741151806377104</v>
      </c>
      <c r="B51" s="18">
        <v>4</v>
      </c>
    </row>
    <row r="52" spans="1:2">
      <c r="A52" s="17">
        <v>43.809006982539884</v>
      </c>
      <c r="B52" s="18">
        <v>4</v>
      </c>
    </row>
    <row r="53" spans="1:2">
      <c r="A53" s="17">
        <v>41.953601245414134</v>
      </c>
      <c r="B53" s="18">
        <v>2</v>
      </c>
    </row>
    <row r="54" spans="1:2">
      <c r="A54" s="17">
        <v>60.805513038292069</v>
      </c>
      <c r="B54" s="18">
        <v>2</v>
      </c>
    </row>
    <row r="55" spans="1:2">
      <c r="A55" s="17">
        <v>53.437103161621017</v>
      </c>
      <c r="B55" s="18">
        <v>1</v>
      </c>
    </row>
    <row r="56" spans="1:2">
      <c r="A56" s="17">
        <v>39.345024748777398</v>
      </c>
      <c r="B56" s="18">
        <v>1</v>
      </c>
    </row>
    <row r="57" spans="1:2">
      <c r="A57" s="17">
        <v>32.291600115490077</v>
      </c>
      <c r="B57" s="18">
        <v>3</v>
      </c>
    </row>
    <row r="58" spans="1:2">
      <c r="A58" s="17">
        <v>35.79750541094333</v>
      </c>
      <c r="B58" s="18">
        <v>4</v>
      </c>
    </row>
    <row r="59" spans="1:2">
      <c r="A59" s="17">
        <v>33.713157510956783</v>
      </c>
      <c r="B59" s="18">
        <v>1</v>
      </c>
    </row>
    <row r="60" spans="1:2">
      <c r="A60" s="17">
        <v>44.694961756628658</v>
      </c>
      <c r="B60" s="18">
        <v>4</v>
      </c>
    </row>
    <row r="61" spans="1:2">
      <c r="A61" s="17">
        <v>41.027506718959991</v>
      </c>
      <c r="B61" s="18">
        <v>4</v>
      </c>
    </row>
    <row r="62" spans="1:2">
      <c r="A62" s="17">
        <v>38.943935388359066</v>
      </c>
      <c r="B62" s="18">
        <v>4</v>
      </c>
    </row>
    <row r="63" spans="1:2">
      <c r="A63" s="17">
        <v>43.833299800352215</v>
      </c>
      <c r="B63" s="18">
        <v>2</v>
      </c>
    </row>
    <row r="64" spans="1:2">
      <c r="A64" s="17">
        <v>24.110483304000283</v>
      </c>
      <c r="B64" s="18">
        <v>4</v>
      </c>
    </row>
    <row r="65" spans="1:2">
      <c r="A65" s="17">
        <v>37.94645298189316</v>
      </c>
      <c r="B65" s="18">
        <v>3</v>
      </c>
    </row>
    <row r="66" spans="1:2">
      <c r="A66" s="17">
        <v>29.475621966392367</v>
      </c>
      <c r="B66" s="18">
        <v>1</v>
      </c>
    </row>
    <row r="67" spans="1:2">
      <c r="A67" s="17">
        <v>44.39221521710536</v>
      </c>
      <c r="B67" s="18">
        <v>3</v>
      </c>
    </row>
    <row r="68" spans="1:2">
      <c r="A68" s="17">
        <v>37.571413835342057</v>
      </c>
      <c r="B68" s="18">
        <v>4</v>
      </c>
    </row>
    <row r="69" spans="1:2">
      <c r="A69" s="17">
        <v>29.522295117768863</v>
      </c>
      <c r="B69" s="18">
        <v>2</v>
      </c>
    </row>
    <row r="70" spans="1:2">
      <c r="A70" s="17">
        <v>55.342072582085663</v>
      </c>
      <c r="B70" s="18">
        <v>3</v>
      </c>
    </row>
    <row r="71" spans="1:2">
      <c r="A71" s="17">
        <v>25.91805309177866</v>
      </c>
      <c r="B71" s="18">
        <v>4</v>
      </c>
    </row>
    <row r="72" spans="1:2">
      <c r="A72" s="17">
        <v>39.762869794724345</v>
      </c>
      <c r="B72" s="18">
        <v>2</v>
      </c>
    </row>
    <row r="73" spans="1:2">
      <c r="A73" s="17">
        <v>41.914769475411596</v>
      </c>
      <c r="B73" s="18">
        <v>1</v>
      </c>
    </row>
    <row r="74" spans="1:2">
      <c r="A74" s="17">
        <v>43.288227448678242</v>
      </c>
      <c r="B74" s="18">
        <v>3</v>
      </c>
    </row>
    <row r="75" spans="1:2">
      <c r="A75" s="17">
        <v>41.816664685295457</v>
      </c>
      <c r="B75" s="18">
        <v>4</v>
      </c>
    </row>
    <row r="76" spans="1:2">
      <c r="A76" s="17">
        <v>34.418848382661295</v>
      </c>
      <c r="B76" s="18">
        <v>2</v>
      </c>
    </row>
    <row r="77" spans="1:2">
      <c r="A77" s="17">
        <v>56.293559296373672</v>
      </c>
      <c r="B77" s="18">
        <v>3</v>
      </c>
    </row>
    <row r="78" spans="1:2">
      <c r="A78" s="17">
        <v>20.393306924307375</v>
      </c>
      <c r="B78" s="18">
        <v>3</v>
      </c>
    </row>
    <row r="79" spans="1:2">
      <c r="A79" s="17">
        <v>38.684073317425977</v>
      </c>
      <c r="B79" s="18">
        <v>4</v>
      </c>
    </row>
    <row r="80" spans="1:2">
      <c r="A80" s="17">
        <v>24.162612244555426</v>
      </c>
      <c r="B80" s="18">
        <v>3</v>
      </c>
    </row>
    <row r="81" spans="1:2">
      <c r="A81" s="17">
        <v>42.117100602524786</v>
      </c>
      <c r="B81" s="18">
        <v>1</v>
      </c>
    </row>
    <row r="82" spans="1:2">
      <c r="A82" s="17">
        <v>38.265859985897926</v>
      </c>
      <c r="B82" s="18">
        <v>1</v>
      </c>
    </row>
    <row r="83" spans="1:2">
      <c r="A83" s="17">
        <v>40.150343035632716</v>
      </c>
      <c r="B83" s="18">
        <v>3</v>
      </c>
    </row>
    <row r="84" spans="1:2">
      <c r="A84" s="17">
        <v>32.559560265273191</v>
      </c>
      <c r="B84" s="18">
        <v>2</v>
      </c>
    </row>
    <row r="85" spans="1:2">
      <c r="A85" s="17">
        <v>41.986302857577506</v>
      </c>
      <c r="B85" s="18">
        <v>3</v>
      </c>
    </row>
    <row r="86" spans="1:2">
      <c r="A86" s="17">
        <v>39.151798309299217</v>
      </c>
      <c r="B86" s="18">
        <v>4</v>
      </c>
    </row>
    <row r="87" spans="1:2">
      <c r="A87" s="17">
        <v>28.110802666498188</v>
      </c>
      <c r="B87" s="18">
        <v>3</v>
      </c>
    </row>
    <row r="88" spans="1:2">
      <c r="A88" s="17">
        <v>25.385238900579317</v>
      </c>
      <c r="B88" s="18">
        <v>2</v>
      </c>
    </row>
    <row r="89" spans="1:2">
      <c r="A89" s="17">
        <v>40.042423772421941</v>
      </c>
      <c r="B89" s="18">
        <v>4</v>
      </c>
    </row>
    <row r="90" spans="1:2">
      <c r="A90" s="17">
        <v>40.99652909655002</v>
      </c>
      <c r="B90" s="18">
        <v>4</v>
      </c>
    </row>
    <row r="91" spans="1:2">
      <c r="A91" s="17">
        <v>26.58281199058332</v>
      </c>
      <c r="B91" s="18">
        <v>4</v>
      </c>
    </row>
    <row r="92" spans="1:2">
      <c r="A92" s="17">
        <v>46.943522843547413</v>
      </c>
      <c r="B92" s="18">
        <v>2</v>
      </c>
    </row>
    <row r="93" spans="1:2">
      <c r="A93" s="17">
        <v>25.37835591370073</v>
      </c>
      <c r="B93" s="18">
        <v>2</v>
      </c>
    </row>
    <row r="94" spans="1:2">
      <c r="A94" s="17">
        <v>53.294325856877137</v>
      </c>
      <c r="B94" s="18">
        <v>3</v>
      </c>
    </row>
    <row r="95" spans="1:2">
      <c r="A95" s="17">
        <v>52.735585903820656</v>
      </c>
      <c r="B95" s="18">
        <v>3</v>
      </c>
    </row>
    <row r="96" spans="1:2">
      <c r="A96" s="17">
        <v>34.677330316005452</v>
      </c>
      <c r="B96" s="18">
        <v>3</v>
      </c>
    </row>
    <row r="97" spans="1:2">
      <c r="A97" s="17">
        <v>56.566259658034852</v>
      </c>
      <c r="B97" s="18">
        <v>2</v>
      </c>
    </row>
    <row r="98" spans="1:2">
      <c r="A98" s="17">
        <v>28.99405499459353</v>
      </c>
      <c r="B98" s="18">
        <v>3</v>
      </c>
    </row>
    <row r="99" spans="1:2">
      <c r="A99" s="17">
        <v>65.066475376533305</v>
      </c>
      <c r="B99" s="18">
        <v>1</v>
      </c>
    </row>
    <row r="100" spans="1:2">
      <c r="A100" s="17">
        <v>18.915253251435615</v>
      </c>
      <c r="B100" s="18">
        <v>3</v>
      </c>
    </row>
    <row r="101" spans="1:2">
      <c r="A101" s="17">
        <v>32.771505529771254</v>
      </c>
      <c r="B101" s="18">
        <v>4</v>
      </c>
    </row>
    <row r="102" spans="1:2">
      <c r="A102" s="17">
        <v>26.777743839779195</v>
      </c>
      <c r="B102" s="18">
        <v>4</v>
      </c>
    </row>
    <row r="103" spans="1:2">
      <c r="A103" s="17">
        <v>55.402625506211088</v>
      </c>
      <c r="B103" s="18">
        <v>1</v>
      </c>
    </row>
    <row r="104" spans="1:2">
      <c r="A104" s="17">
        <v>38.317191165662869</v>
      </c>
      <c r="B104" s="18">
        <v>1</v>
      </c>
    </row>
    <row r="105" spans="1:2">
      <c r="A105" s="17">
        <v>50.369456437073111</v>
      </c>
      <c r="B105" s="18">
        <v>1</v>
      </c>
    </row>
    <row r="106" spans="1:2">
      <c r="A106" s="17">
        <v>48.435043835255634</v>
      </c>
      <c r="B106" s="18">
        <v>3</v>
      </c>
    </row>
    <row r="107" spans="1:2">
      <c r="A107" s="17">
        <v>23.398415162048963</v>
      </c>
      <c r="B107" s="18">
        <v>4</v>
      </c>
    </row>
    <row r="108" spans="1:2">
      <c r="A108" s="17">
        <v>32.839094026228345</v>
      </c>
      <c r="B108" s="18">
        <v>2</v>
      </c>
    </row>
    <row r="109" spans="1:2">
      <c r="A109" s="17">
        <v>42.272425544894745</v>
      </c>
      <c r="B109" s="18">
        <v>1</v>
      </c>
    </row>
    <row r="110" spans="1:2">
      <c r="A110" s="17">
        <v>28.638854134174654</v>
      </c>
      <c r="B110" s="18">
        <v>1</v>
      </c>
    </row>
    <row r="111" spans="1:2">
      <c r="A111" s="17">
        <v>35.854143084637307</v>
      </c>
      <c r="B111" s="18">
        <v>4</v>
      </c>
    </row>
    <row r="112" spans="1:2">
      <c r="A112" s="17">
        <v>28.320932958331461</v>
      </c>
      <c r="B112" s="18">
        <v>2</v>
      </c>
    </row>
    <row r="113" spans="1:2">
      <c r="A113" s="17">
        <v>38.236212181407666</v>
      </c>
      <c r="B113" s="18">
        <v>3</v>
      </c>
    </row>
    <row r="114" spans="1:2">
      <c r="A114" s="17">
        <v>19.775176766736994</v>
      </c>
      <c r="B114" s="18">
        <v>3</v>
      </c>
    </row>
    <row r="115" spans="1:2">
      <c r="A115" s="17">
        <v>36.110107146272476</v>
      </c>
      <c r="B115" s="18">
        <v>2</v>
      </c>
    </row>
    <row r="116" spans="1:2">
      <c r="A116" s="17">
        <v>41.238363822278494</v>
      </c>
      <c r="B116" s="18">
        <v>1</v>
      </c>
    </row>
    <row r="117" spans="1:2">
      <c r="A117" s="17">
        <v>29.572446009947051</v>
      </c>
      <c r="B117" s="18">
        <v>2</v>
      </c>
    </row>
    <row r="118" spans="1:2">
      <c r="A118" s="17">
        <v>25.17540891846263</v>
      </c>
      <c r="B118" s="18">
        <v>2</v>
      </c>
    </row>
    <row r="119" spans="1:2">
      <c r="A119" s="17">
        <v>38.593635377924819</v>
      </c>
      <c r="B119" s="18">
        <v>2</v>
      </c>
    </row>
    <row r="120" spans="1:2">
      <c r="A120" s="17">
        <v>36.378127991750183</v>
      </c>
      <c r="B120" s="18">
        <v>4</v>
      </c>
    </row>
    <row r="121" spans="1:2">
      <c r="A121" s="17">
        <v>49.224365029610887</v>
      </c>
      <c r="B121" s="18">
        <v>1</v>
      </c>
    </row>
    <row r="122" spans="1:2">
      <c r="A122" s="17">
        <v>39.513246438038173</v>
      </c>
      <c r="B122" s="18">
        <v>3</v>
      </c>
    </row>
    <row r="123" spans="1:2">
      <c r="A123" s="17">
        <v>48.665996124496175</v>
      </c>
      <c r="B123" s="18">
        <v>1</v>
      </c>
    </row>
    <row r="124" spans="1:2">
      <c r="A124" s="17">
        <v>38.813568571332006</v>
      </c>
      <c r="B124" s="18">
        <v>4</v>
      </c>
    </row>
    <row r="125" spans="1:2">
      <c r="A125" s="17">
        <v>60.436193895085857</v>
      </c>
      <c r="B125" s="18">
        <v>4</v>
      </c>
    </row>
    <row r="126" spans="1:2">
      <c r="A126" s="17">
        <v>38.551777744875942</v>
      </c>
      <c r="B126" s="18">
        <v>1</v>
      </c>
    </row>
    <row r="127" spans="1:2">
      <c r="A127" s="17">
        <v>57.696480106041513</v>
      </c>
      <c r="B127" s="18">
        <v>1</v>
      </c>
    </row>
    <row r="128" spans="1:2">
      <c r="A128" s="17">
        <v>50.652509690743997</v>
      </c>
      <c r="B128" s="18">
        <v>1</v>
      </c>
    </row>
    <row r="129" spans="1:2">
      <c r="A129" s="17">
        <v>38.606191025374812</v>
      </c>
      <c r="B129" s="18">
        <v>3</v>
      </c>
    </row>
    <row r="130" spans="1:2">
      <c r="A130" s="17">
        <v>24.760682532116807</v>
      </c>
      <c r="B130" s="18">
        <v>4</v>
      </c>
    </row>
    <row r="131" spans="1:2">
      <c r="A131" s="17">
        <v>55.247339594876237</v>
      </c>
      <c r="B131" s="18">
        <v>2</v>
      </c>
    </row>
    <row r="132" spans="1:2">
      <c r="A132" s="17">
        <v>32.855402349156208</v>
      </c>
      <c r="B132" s="18">
        <v>2</v>
      </c>
    </row>
    <row r="133" spans="1:2">
      <c r="A133" s="17">
        <v>17.516341486154023</v>
      </c>
      <c r="B133" s="18">
        <v>1</v>
      </c>
    </row>
    <row r="134" spans="1:2">
      <c r="A134" s="17">
        <v>42.095270478915005</v>
      </c>
      <c r="B134" s="18">
        <v>4</v>
      </c>
    </row>
    <row r="135" spans="1:2">
      <c r="A135" s="17">
        <v>51.776546153798598</v>
      </c>
      <c r="B135" s="18">
        <v>4</v>
      </c>
    </row>
    <row r="136" spans="1:2">
      <c r="A136" s="17">
        <v>39.078308454519636</v>
      </c>
      <c r="B136" s="18">
        <v>2</v>
      </c>
    </row>
    <row r="137" spans="1:2">
      <c r="A137" s="17">
        <v>33.816578964656877</v>
      </c>
      <c r="B137" s="18">
        <v>2</v>
      </c>
    </row>
    <row r="138" spans="1:2">
      <c r="A138" s="17">
        <v>34.549766899381908</v>
      </c>
      <c r="B138" s="18">
        <v>1</v>
      </c>
    </row>
    <row r="139" spans="1:2">
      <c r="A139" s="17">
        <v>45.701794310734954</v>
      </c>
      <c r="B139" s="18">
        <v>1</v>
      </c>
    </row>
    <row r="140" spans="1:2">
      <c r="A140" s="17">
        <v>17.06333419885253</v>
      </c>
      <c r="B140" s="18">
        <v>4</v>
      </c>
    </row>
    <row r="141" spans="1:2">
      <c r="A141" s="17">
        <v>32.357756807515116</v>
      </c>
      <c r="B141" s="18">
        <v>3</v>
      </c>
    </row>
    <row r="142" spans="1:2">
      <c r="A142" s="17">
        <v>40.984350557352116</v>
      </c>
      <c r="B142" s="18">
        <v>3</v>
      </c>
    </row>
    <row r="143" spans="1:2">
      <c r="A143" s="17">
        <v>43.395203871310869</v>
      </c>
      <c r="B143" s="18">
        <v>4</v>
      </c>
    </row>
    <row r="144" spans="1:2">
      <c r="A144" s="17">
        <v>26.617579956808669</v>
      </c>
      <c r="B144" s="18">
        <v>3</v>
      </c>
    </row>
    <row r="145" spans="1:2">
      <c r="A145" s="17">
        <v>48.646368715722048</v>
      </c>
      <c r="B145" s="18">
        <v>1</v>
      </c>
    </row>
    <row r="146" spans="1:2">
      <c r="A146" s="17">
        <v>43.293775383914131</v>
      </c>
      <c r="B146" s="18">
        <v>3</v>
      </c>
    </row>
    <row r="147" spans="1:2">
      <c r="A147" s="17">
        <v>43.493644677188165</v>
      </c>
      <c r="B147" s="18">
        <v>3</v>
      </c>
    </row>
    <row r="148" spans="1:2">
      <c r="A148" s="17">
        <v>53.561894971091021</v>
      </c>
      <c r="B148" s="18">
        <v>1</v>
      </c>
    </row>
    <row r="149" spans="1:2">
      <c r="A149" s="17">
        <v>40.496980646709844</v>
      </c>
      <c r="B149" s="18">
        <v>2</v>
      </c>
    </row>
    <row r="150" spans="1:2">
      <c r="A150" s="17">
        <v>34.399320510618665</v>
      </c>
      <c r="B150" s="18">
        <v>4</v>
      </c>
    </row>
    <row r="151" spans="1:2">
      <c r="A151" s="17">
        <v>41.896296601561211</v>
      </c>
      <c r="B151" s="18">
        <v>3</v>
      </c>
    </row>
    <row r="152" spans="1:2">
      <c r="A152" s="17">
        <v>43.222204335250218</v>
      </c>
      <c r="B152" s="18">
        <v>1</v>
      </c>
    </row>
    <row r="153" spans="1:2">
      <c r="A153" s="17">
        <v>16.692394973823074</v>
      </c>
      <c r="B153" s="18">
        <v>1</v>
      </c>
    </row>
    <row r="154" spans="1:2">
      <c r="A154" s="17">
        <v>34.382526834987345</v>
      </c>
      <c r="B154" s="18">
        <v>2</v>
      </c>
    </row>
    <row r="155" spans="1:2">
      <c r="A155" s="17">
        <v>31.759147079187805</v>
      </c>
      <c r="B155" s="18">
        <v>2</v>
      </c>
    </row>
    <row r="156" spans="1:2">
      <c r="A156" s="17">
        <v>42.62978392162664</v>
      </c>
      <c r="B156" s="18">
        <v>2</v>
      </c>
    </row>
    <row r="157" spans="1:2">
      <c r="A157" s="17">
        <v>47.348187782652985</v>
      </c>
      <c r="B157" s="18">
        <v>2</v>
      </c>
    </row>
    <row r="158" spans="1:2">
      <c r="A158" s="17">
        <v>50.40591893205287</v>
      </c>
      <c r="B158" s="18">
        <v>3</v>
      </c>
    </row>
    <row r="159" spans="1:2">
      <c r="A159" s="17">
        <v>33.388097372650975</v>
      </c>
      <c r="B159" s="18">
        <v>4</v>
      </c>
    </row>
    <row r="160" spans="1:2">
      <c r="A160" s="17">
        <v>44.955161971473728</v>
      </c>
      <c r="B160" s="18">
        <v>1</v>
      </c>
    </row>
    <row r="161" spans="1:2">
      <c r="A161" s="17">
        <v>57.188495390883581</v>
      </c>
      <c r="B161" s="18">
        <v>4</v>
      </c>
    </row>
    <row r="162" spans="1:2">
      <c r="A162" s="17">
        <v>42.640619064734018</v>
      </c>
      <c r="B162" s="18">
        <v>3</v>
      </c>
    </row>
    <row r="163" spans="1:2">
      <c r="A163" s="17">
        <v>42.97511084949376</v>
      </c>
      <c r="B163" s="18">
        <v>3</v>
      </c>
    </row>
    <row r="164" spans="1:2">
      <c r="A164" s="17">
        <v>58.948429639584688</v>
      </c>
      <c r="B164" s="18">
        <v>1</v>
      </c>
    </row>
    <row r="165" spans="1:2">
      <c r="A165" s="17">
        <v>51.655530608077399</v>
      </c>
      <c r="B165" s="18">
        <v>1</v>
      </c>
    </row>
    <row r="166" spans="1:2">
      <c r="A166" s="17">
        <v>53.672855371267403</v>
      </c>
      <c r="B166" s="18">
        <v>4</v>
      </c>
    </row>
    <row r="167" spans="1:2">
      <c r="A167" s="17">
        <v>32.598979267443674</v>
      </c>
      <c r="B167" s="18">
        <v>2</v>
      </c>
    </row>
    <row r="168" spans="1:2">
      <c r="A168" s="17">
        <v>47.423795101431693</v>
      </c>
      <c r="B168" s="18">
        <v>3</v>
      </c>
    </row>
    <row r="169" spans="1:2">
      <c r="A169" s="17">
        <v>59.192763261780883</v>
      </c>
      <c r="B169" s="18">
        <v>1</v>
      </c>
    </row>
    <row r="170" spans="1:2">
      <c r="A170" s="17">
        <v>38.770078860599881</v>
      </c>
      <c r="B170" s="18">
        <v>2</v>
      </c>
    </row>
    <row r="171" spans="1:2">
      <c r="A171" s="17">
        <v>54.713389266433971</v>
      </c>
      <c r="B171" s="18">
        <v>2</v>
      </c>
    </row>
    <row r="172" spans="1:2">
      <c r="A172" s="17">
        <v>37.164785642468161</v>
      </c>
      <c r="B172" s="18">
        <v>1</v>
      </c>
    </row>
    <row r="173" spans="1:2">
      <c r="A173" s="17">
        <v>23.053804077463283</v>
      </c>
      <c r="B173" s="18">
        <v>4</v>
      </c>
    </row>
    <row r="174" spans="1:2">
      <c r="A174" s="17">
        <v>31.794990297691804</v>
      </c>
      <c r="B174" s="18">
        <v>3</v>
      </c>
    </row>
    <row r="175" spans="1:2">
      <c r="A175" s="17">
        <v>33.782285653158631</v>
      </c>
      <c r="B175" s="18">
        <v>1</v>
      </c>
    </row>
    <row r="176" spans="1:2">
      <c r="A176" s="17">
        <v>43.787636450300575</v>
      </c>
      <c r="B176" s="18">
        <v>4</v>
      </c>
    </row>
    <row r="177" spans="1:2">
      <c r="A177" s="17">
        <v>49.828620143118847</v>
      </c>
      <c r="B177" s="18">
        <v>2</v>
      </c>
    </row>
    <row r="178" spans="1:2">
      <c r="A178" s="17">
        <v>44.879911029246649</v>
      </c>
      <c r="B178" s="18">
        <v>3</v>
      </c>
    </row>
    <row r="179" spans="1:2">
      <c r="A179" s="17">
        <v>38.648395422999336</v>
      </c>
      <c r="B179" s="18">
        <v>2</v>
      </c>
    </row>
    <row r="180" spans="1:2">
      <c r="A180" s="17">
        <v>42.997565740114361</v>
      </c>
      <c r="B180" s="18">
        <v>4</v>
      </c>
    </row>
    <row r="181" spans="1:2">
      <c r="A181" s="17">
        <v>49.28917560750989</v>
      </c>
      <c r="B181" s="18">
        <v>3</v>
      </c>
    </row>
    <row r="182" spans="1:2">
      <c r="A182" s="17">
        <v>52.284347539893943</v>
      </c>
      <c r="B182" s="18">
        <v>2</v>
      </c>
    </row>
    <row r="183" spans="1:2">
      <c r="A183" s="17">
        <v>46.432726486494047</v>
      </c>
      <c r="B183" s="18">
        <v>3</v>
      </c>
    </row>
    <row r="184" spans="1:2">
      <c r="A184" s="17">
        <v>21.308972076293415</v>
      </c>
      <c r="B184" s="18">
        <v>2</v>
      </c>
    </row>
    <row r="185" spans="1:2">
      <c r="A185" s="17">
        <v>38.927192530738353</v>
      </c>
      <c r="B185" s="18">
        <v>4</v>
      </c>
    </row>
    <row r="186" spans="1:2">
      <c r="A186" s="17">
        <v>31.173135450243226</v>
      </c>
      <c r="B186" s="18">
        <v>4</v>
      </c>
    </row>
    <row r="187" spans="1:2">
      <c r="A187" s="17">
        <v>48.964054162810918</v>
      </c>
      <c r="B187" s="18">
        <v>1</v>
      </c>
    </row>
    <row r="188" spans="1:2">
      <c r="A188" s="17">
        <v>39.142526256670848</v>
      </c>
      <c r="B188" s="18">
        <v>3</v>
      </c>
    </row>
    <row r="189" spans="1:2">
      <c r="A189" s="17">
        <v>40.641012568504152</v>
      </c>
      <c r="B189" s="18">
        <v>4</v>
      </c>
    </row>
    <row r="190" spans="1:2">
      <c r="A190" s="17">
        <v>23.200212456372398</v>
      </c>
      <c r="B190" s="18">
        <v>4</v>
      </c>
    </row>
    <row r="191" spans="1:2">
      <c r="A191" s="17">
        <v>46.150486302837614</v>
      </c>
      <c r="B191" s="18">
        <v>4</v>
      </c>
    </row>
    <row r="192" spans="1:2">
      <c r="A192" s="17">
        <v>47.536567533884707</v>
      </c>
      <c r="B192" s="18">
        <v>2</v>
      </c>
    </row>
    <row r="193" spans="1:2">
      <c r="A193" s="17">
        <v>43.728183947766212</v>
      </c>
      <c r="B193" s="18">
        <v>1</v>
      </c>
    </row>
    <row r="194" spans="1:2">
      <c r="A194" s="17">
        <v>38.652888780003238</v>
      </c>
      <c r="B194" s="18">
        <v>4</v>
      </c>
    </row>
    <row r="195" spans="1:2">
      <c r="A195" s="17">
        <v>42.187489525849877</v>
      </c>
      <c r="B195" s="18">
        <v>2</v>
      </c>
    </row>
    <row r="196" spans="1:2">
      <c r="A196" s="17">
        <v>37.601438957965435</v>
      </c>
      <c r="B196" s="18">
        <v>3</v>
      </c>
    </row>
    <row r="197" spans="1:2">
      <c r="A197" s="17">
        <v>41.223919910847876</v>
      </c>
      <c r="B197" s="18">
        <v>3</v>
      </c>
    </row>
    <row r="198" spans="1:2">
      <c r="A198" s="17">
        <v>35.944788068574013</v>
      </c>
      <c r="B198" s="18">
        <v>1</v>
      </c>
    </row>
    <row r="199" spans="1:2">
      <c r="A199" s="17">
        <v>39.738802941231661</v>
      </c>
      <c r="B199" s="18">
        <v>2</v>
      </c>
    </row>
    <row r="200" spans="1:2">
      <c r="A200" s="17">
        <v>38.785667809208498</v>
      </c>
      <c r="B200" s="18">
        <v>1</v>
      </c>
    </row>
    <row r="201" spans="1:2">
      <c r="A201" s="17">
        <v>41.441817069791554</v>
      </c>
      <c r="B201" s="18">
        <v>4</v>
      </c>
    </row>
    <row r="202" spans="1:2">
      <c r="A202" s="17">
        <v>27.554324302237319</v>
      </c>
      <c r="B202" s="18">
        <v>1</v>
      </c>
    </row>
    <row r="203" spans="1:2">
      <c r="A203" s="17">
        <v>37.953294230362353</v>
      </c>
      <c r="B203" s="18">
        <v>1</v>
      </c>
    </row>
    <row r="204" spans="1:2">
      <c r="A204" s="17">
        <v>52.001277331372251</v>
      </c>
      <c r="B204" s="18">
        <v>3</v>
      </c>
    </row>
    <row r="205" spans="1:2">
      <c r="A205" s="17">
        <v>35.188876521101619</v>
      </c>
      <c r="B205" s="18">
        <v>2</v>
      </c>
    </row>
    <row r="206" spans="1:2">
      <c r="A206" s="17">
        <v>57.532113368262578</v>
      </c>
      <c r="B206" s="18">
        <v>1</v>
      </c>
    </row>
    <row r="207" spans="1:2">
      <c r="A207" s="17">
        <v>48.52183963653949</v>
      </c>
      <c r="B207" s="18">
        <v>1</v>
      </c>
    </row>
    <row r="208" spans="1:2">
      <c r="A208" s="17">
        <v>35.298353742310752</v>
      </c>
      <c r="B208" s="18">
        <v>4</v>
      </c>
    </row>
    <row r="209" spans="1:2">
      <c r="A209" s="17">
        <v>51.20395099005119</v>
      </c>
      <c r="B209" s="18">
        <v>4</v>
      </c>
    </row>
    <row r="210" spans="1:2">
      <c r="A210" s="17">
        <v>33.924991176762767</v>
      </c>
      <c r="B210" s="18">
        <v>1</v>
      </c>
    </row>
    <row r="211" spans="1:2">
      <c r="A211" s="17">
        <v>28.55410475961655</v>
      </c>
      <c r="B211" s="18">
        <v>3</v>
      </c>
    </row>
    <row r="212" spans="1:2">
      <c r="A212" s="17">
        <v>46.524072828499939</v>
      </c>
      <c r="B212" s="18">
        <v>4</v>
      </c>
    </row>
    <row r="213" spans="1:2">
      <c r="A213" s="17">
        <v>39.33751651214439</v>
      </c>
      <c r="B213" s="18">
        <v>4</v>
      </c>
    </row>
    <row r="214" spans="1:2">
      <c r="A214" s="17">
        <v>40.756539201896963</v>
      </c>
      <c r="B214" s="18">
        <v>2</v>
      </c>
    </row>
    <row r="215" spans="1:2">
      <c r="A215" s="17">
        <v>30.160108373583498</v>
      </c>
      <c r="B215" s="18">
        <v>3</v>
      </c>
    </row>
    <row r="216" spans="1:2">
      <c r="A216" s="17">
        <v>46.490093615375081</v>
      </c>
      <c r="B216" s="18">
        <v>1</v>
      </c>
    </row>
    <row r="217" spans="1:2">
      <c r="A217" s="17">
        <v>41.809766218550344</v>
      </c>
      <c r="B217" s="18">
        <v>1</v>
      </c>
    </row>
    <row r="218" spans="1:2">
      <c r="A218" s="17">
        <v>45.098688276055491</v>
      </c>
      <c r="B218" s="18">
        <v>3</v>
      </c>
    </row>
    <row r="219" spans="1:2">
      <c r="A219" s="17">
        <v>37.322415267013383</v>
      </c>
      <c r="B219" s="18">
        <v>3</v>
      </c>
    </row>
    <row r="220" spans="1:2">
      <c r="A220" s="17">
        <v>47.611665452392614</v>
      </c>
      <c r="B220" s="18">
        <v>4</v>
      </c>
    </row>
    <row r="221" spans="1:2">
      <c r="A221" s="17">
        <v>23.761777224859298</v>
      </c>
      <c r="B221" s="18">
        <v>1</v>
      </c>
    </row>
    <row r="222" spans="1:2">
      <c r="A222" s="17">
        <v>30.413038483213068</v>
      </c>
      <c r="B222" s="18">
        <v>2</v>
      </c>
    </row>
    <row r="223" spans="1:2">
      <c r="A223" s="17">
        <v>37.745030115243594</v>
      </c>
      <c r="B223" s="18">
        <v>3</v>
      </c>
    </row>
    <row r="224" spans="1:2">
      <c r="A224" s="17">
        <v>24.00279824801132</v>
      </c>
      <c r="B224" s="18">
        <v>3</v>
      </c>
    </row>
    <row r="225" spans="1:2">
      <c r="A225" s="17">
        <v>46.679031538842573</v>
      </c>
      <c r="B225" s="18">
        <v>3</v>
      </c>
    </row>
    <row r="226" spans="1:2">
      <c r="A226" s="17">
        <v>14.472694650884119</v>
      </c>
      <c r="B226" s="18">
        <v>3</v>
      </c>
    </row>
    <row r="227" spans="1:2">
      <c r="A227" s="17">
        <v>24.65506821687169</v>
      </c>
      <c r="B227" s="18">
        <v>1</v>
      </c>
    </row>
    <row r="228" spans="1:2">
      <c r="A228" s="17">
        <v>29.12554426267776</v>
      </c>
      <c r="B228" s="18">
        <v>4</v>
      </c>
    </row>
    <row r="229" spans="1:2">
      <c r="A229" s="17">
        <v>19.662416014024487</v>
      </c>
      <c r="B229" s="18">
        <v>3</v>
      </c>
    </row>
    <row r="230" spans="1:2">
      <c r="A230" s="17">
        <v>45.297393766712183</v>
      </c>
      <c r="B230" s="18">
        <v>4</v>
      </c>
    </row>
    <row r="231" spans="1:2">
      <c r="A231" s="17">
        <v>46.523958490941965</v>
      </c>
      <c r="B231" s="18">
        <v>3</v>
      </c>
    </row>
    <row r="232" spans="1:2">
      <c r="A232" s="17">
        <v>21.855395509598146</v>
      </c>
      <c r="B232" s="18">
        <v>4</v>
      </c>
    </row>
    <row r="233" spans="1:2">
      <c r="A233" s="17">
        <v>52.770223937937388</v>
      </c>
      <c r="B233" s="18">
        <v>1</v>
      </c>
    </row>
    <row r="234" spans="1:2">
      <c r="A234" s="17">
        <v>35.618015794131807</v>
      </c>
      <c r="B234" s="18">
        <v>2</v>
      </c>
    </row>
    <row r="235" spans="1:2">
      <c r="A235" s="17">
        <v>57.866456763071938</v>
      </c>
      <c r="B235" s="18">
        <v>3</v>
      </c>
    </row>
    <row r="236" spans="1:2">
      <c r="A236" s="17">
        <v>30.758509017485576</v>
      </c>
      <c r="B236" s="18">
        <v>2</v>
      </c>
    </row>
    <row r="237" spans="1:2">
      <c r="A237" s="17">
        <v>62.112014075713816</v>
      </c>
      <c r="B237" s="18">
        <v>3</v>
      </c>
    </row>
    <row r="238" spans="1:2">
      <c r="A238" s="17">
        <v>37.23220782876642</v>
      </c>
      <c r="B238" s="18">
        <v>3</v>
      </c>
    </row>
    <row r="239" spans="1:2">
      <c r="A239" s="17">
        <v>52.953062672406247</v>
      </c>
      <c r="B239" s="18">
        <v>3</v>
      </c>
    </row>
    <row r="240" spans="1:2">
      <c r="A240" s="17">
        <v>29.297233985628644</v>
      </c>
      <c r="B240" s="18">
        <v>4</v>
      </c>
    </row>
    <row r="241" spans="1:2">
      <c r="A241" s="17">
        <v>41.921941291851752</v>
      </c>
      <c r="B241" s="18">
        <v>4</v>
      </c>
    </row>
    <row r="242" spans="1:2">
      <c r="A242" s="17">
        <v>30.193112664015587</v>
      </c>
      <c r="B242" s="18">
        <v>2</v>
      </c>
    </row>
    <row r="243" spans="1:2">
      <c r="A243" s="17">
        <v>38.521942259457518</v>
      </c>
      <c r="B243" s="18">
        <v>4</v>
      </c>
    </row>
    <row r="244" spans="1:2">
      <c r="A244" s="17">
        <v>24.334547975118934</v>
      </c>
      <c r="B244" s="18">
        <v>4</v>
      </c>
    </row>
    <row r="245" spans="1:2">
      <c r="A245" s="17">
        <v>38.179017330393393</v>
      </c>
      <c r="B245" s="18">
        <v>3</v>
      </c>
    </row>
    <row r="246" spans="1:2">
      <c r="A246" s="17">
        <v>41.226727983278245</v>
      </c>
      <c r="B246" s="18">
        <v>4</v>
      </c>
    </row>
    <row r="247" spans="1:2">
      <c r="A247" s="17">
        <v>35.010429320801656</v>
      </c>
      <c r="B247" s="18">
        <v>3</v>
      </c>
    </row>
    <row r="248" spans="1:2">
      <c r="A248" s="17">
        <v>34.853405202120335</v>
      </c>
      <c r="B248" s="18">
        <v>1</v>
      </c>
    </row>
    <row r="249" spans="1:2">
      <c r="A249" s="17">
        <v>49.168967850674946</v>
      </c>
      <c r="B249" s="18">
        <v>3</v>
      </c>
    </row>
    <row r="250" spans="1:2">
      <c r="A250" s="17">
        <v>32.925324391259096</v>
      </c>
      <c r="B250" s="18">
        <v>3</v>
      </c>
    </row>
    <row r="251" spans="1:2">
      <c r="A251" s="19">
        <v>32.53860844240274</v>
      </c>
      <c r="B251" s="20">
        <v>3</v>
      </c>
    </row>
  </sheetData>
  <dataValidations count="1">
    <dataValidation type="whole" allowBlank="1" showInputMessage="1" showErrorMessage="1" sqref="B1:B1048576" xr:uid="{4FD42D45-DAC5-410B-AF75-EB1B68DD387F}">
      <formula1>1</formula1>
      <formula2>4</formula2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D00A-1A17-4B52-8594-60D62809ECC1}">
  <dimension ref="A1:E251"/>
  <sheetViews>
    <sheetView showGridLines="0" workbookViewId="0">
      <pane ySplit="1" topLeftCell="A2" activePane="bottomLeft" state="frozen"/>
      <selection pane="bottomLeft" activeCell="C1" sqref="C1"/>
    </sheetView>
  </sheetViews>
  <sheetFormatPr defaultRowHeight="15"/>
  <cols>
    <col min="1" max="1" width="7.5703125" style="7" bestFit="1" customWidth="1"/>
    <col min="2" max="2" width="9.7109375" style="12" bestFit="1" customWidth="1"/>
    <col min="3" max="3" width="23.42578125" style="7" bestFit="1" customWidth="1"/>
    <col min="5" max="5" width="15.140625" bestFit="1" customWidth="1"/>
  </cols>
  <sheetData>
    <row r="1" spans="1:5" ht="19.5">
      <c r="A1" s="13" t="s">
        <v>5</v>
      </c>
      <c r="B1" s="14" t="s">
        <v>6</v>
      </c>
      <c r="C1" s="13" t="s">
        <v>7</v>
      </c>
      <c r="E1" s="1" t="s">
        <v>8</v>
      </c>
    </row>
    <row r="2" spans="1:5">
      <c r="A2" s="15">
        <f>Data!A2</f>
        <v>30.667001851053044</v>
      </c>
      <c r="B2" s="16">
        <f>Data!B2</f>
        <v>3</v>
      </c>
      <c r="C2" s="15" t="str">
        <f>IF(B2=$E$2,A2,"")</f>
        <v/>
      </c>
      <c r="E2" s="4">
        <v>1</v>
      </c>
    </row>
    <row r="3" spans="1:5">
      <c r="A3" s="17">
        <f>Data!A3</f>
        <v>36.335167882277396</v>
      </c>
      <c r="B3" s="18">
        <f>Data!B3</f>
        <v>3</v>
      </c>
      <c r="C3" s="17" t="str">
        <f t="shared" ref="C3:C66" si="0">IF(B3=$E$2,A3,"")</f>
        <v/>
      </c>
    </row>
    <row r="4" spans="1:5">
      <c r="A4" s="17">
        <f>Data!A4</f>
        <v>33.424058748812577</v>
      </c>
      <c r="B4" s="18">
        <f>Data!B4</f>
        <v>4</v>
      </c>
      <c r="C4" s="17" t="str">
        <f t="shared" si="0"/>
        <v/>
      </c>
    </row>
    <row r="5" spans="1:5">
      <c r="A5" s="17">
        <f>Data!A5</f>
        <v>52.576527877855312</v>
      </c>
      <c r="B5" s="18">
        <f>Data!B5</f>
        <v>4</v>
      </c>
      <c r="C5" s="17" t="str">
        <f t="shared" si="0"/>
        <v/>
      </c>
    </row>
    <row r="6" spans="1:5">
      <c r="A6" s="17">
        <f>Data!A6</f>
        <v>48.4663056313968</v>
      </c>
      <c r="B6" s="18">
        <f>Data!B6</f>
        <v>3</v>
      </c>
      <c r="C6" s="17" t="str">
        <f t="shared" si="0"/>
        <v/>
      </c>
    </row>
    <row r="7" spans="1:5">
      <c r="A7" s="17">
        <f>Data!A7</f>
        <v>36.752010579693462</v>
      </c>
      <c r="B7" s="18">
        <f>Data!B7</f>
        <v>4</v>
      </c>
      <c r="C7" s="17" t="str">
        <f t="shared" si="0"/>
        <v/>
      </c>
    </row>
    <row r="8" spans="1:5">
      <c r="A8" s="17">
        <f>Data!A8</f>
        <v>22.097907202231319</v>
      </c>
      <c r="B8" s="18">
        <f>Data!B8</f>
        <v>1</v>
      </c>
      <c r="C8" s="17">
        <f t="shared" si="0"/>
        <v>22.097907202231319</v>
      </c>
    </row>
    <row r="9" spans="1:5">
      <c r="A9" s="17">
        <f>Data!A9</f>
        <v>61.275853899268327</v>
      </c>
      <c r="B9" s="18">
        <f>Data!B9</f>
        <v>3</v>
      </c>
      <c r="C9" s="17" t="str">
        <f t="shared" si="0"/>
        <v/>
      </c>
    </row>
    <row r="10" spans="1:5">
      <c r="A10" s="17">
        <f>Data!A10</f>
        <v>50.570993443890671</v>
      </c>
      <c r="B10" s="18">
        <f>Data!B10</f>
        <v>3</v>
      </c>
      <c r="C10" s="17" t="str">
        <f t="shared" si="0"/>
        <v/>
      </c>
    </row>
    <row r="11" spans="1:5">
      <c r="A11" s="17">
        <f>Data!A11</f>
        <v>35.273006871487667</v>
      </c>
      <c r="B11" s="18">
        <f>Data!B11</f>
        <v>3</v>
      </c>
      <c r="C11" s="17" t="str">
        <f t="shared" si="0"/>
        <v/>
      </c>
    </row>
    <row r="12" spans="1:5">
      <c r="A12" s="17">
        <f>Data!A12</f>
        <v>46.206611839455739</v>
      </c>
      <c r="B12" s="18">
        <f>Data!B12</f>
        <v>3</v>
      </c>
      <c r="C12" s="17" t="str">
        <f t="shared" si="0"/>
        <v/>
      </c>
    </row>
    <row r="13" spans="1:5">
      <c r="A13" s="17">
        <f>Data!A13</f>
        <v>33.598832765397603</v>
      </c>
      <c r="B13" s="18">
        <f>Data!B13</f>
        <v>2</v>
      </c>
      <c r="C13" s="17" t="str">
        <f t="shared" si="0"/>
        <v/>
      </c>
    </row>
    <row r="14" spans="1:5">
      <c r="A14" s="17">
        <f>Data!A14</f>
        <v>45.913556542368767</v>
      </c>
      <c r="B14" s="18">
        <f>Data!B14</f>
        <v>1</v>
      </c>
      <c r="C14" s="17">
        <f t="shared" si="0"/>
        <v>45.913556542368767</v>
      </c>
    </row>
    <row r="15" spans="1:5">
      <c r="A15" s="17">
        <f>Data!A15</f>
        <v>39.776334614844551</v>
      </c>
      <c r="B15" s="18">
        <f>Data!B15</f>
        <v>1</v>
      </c>
      <c r="C15" s="17">
        <f t="shared" si="0"/>
        <v>39.776334614844551</v>
      </c>
    </row>
    <row r="16" spans="1:5">
      <c r="A16" s="17">
        <f>Data!A16</f>
        <v>50.795225224051606</v>
      </c>
      <c r="B16" s="18">
        <f>Data!B16</f>
        <v>2</v>
      </c>
      <c r="C16" s="17" t="str">
        <f t="shared" si="0"/>
        <v/>
      </c>
    </row>
    <row r="17" spans="1:3">
      <c r="A17" s="17">
        <f>Data!A17</f>
        <v>55.88574312071394</v>
      </c>
      <c r="B17" s="18">
        <f>Data!B17</f>
        <v>3</v>
      </c>
      <c r="C17" s="17" t="str">
        <f t="shared" si="0"/>
        <v/>
      </c>
    </row>
    <row r="18" spans="1:3">
      <c r="A18" s="17">
        <f>Data!A18</f>
        <v>39.241828787817028</v>
      </c>
      <c r="B18" s="18">
        <f>Data!B18</f>
        <v>2</v>
      </c>
      <c r="C18" s="17" t="str">
        <f t="shared" si="0"/>
        <v/>
      </c>
    </row>
    <row r="19" spans="1:3">
      <c r="A19" s="17">
        <f>Data!A19</f>
        <v>39.759026569182801</v>
      </c>
      <c r="B19" s="18">
        <f>Data!B19</f>
        <v>3</v>
      </c>
      <c r="C19" s="17" t="str">
        <f t="shared" si="0"/>
        <v/>
      </c>
    </row>
    <row r="20" spans="1:3">
      <c r="A20" s="17">
        <f>Data!A20</f>
        <v>31.975039122946296</v>
      </c>
      <c r="B20" s="18">
        <f>Data!B20</f>
        <v>2</v>
      </c>
      <c r="C20" s="17" t="str">
        <f t="shared" si="0"/>
        <v/>
      </c>
    </row>
    <row r="21" spans="1:3">
      <c r="A21" s="17">
        <f>Data!A21</f>
        <v>61.958144381574463</v>
      </c>
      <c r="B21" s="18">
        <f>Data!B21</f>
        <v>2</v>
      </c>
      <c r="C21" s="17" t="str">
        <f t="shared" si="0"/>
        <v/>
      </c>
    </row>
    <row r="22" spans="1:3">
      <c r="A22" s="17">
        <f>Data!A22</f>
        <v>33.032514156848691</v>
      </c>
      <c r="B22" s="18">
        <f>Data!B22</f>
        <v>2</v>
      </c>
      <c r="C22" s="17" t="str">
        <f t="shared" si="0"/>
        <v/>
      </c>
    </row>
    <row r="23" spans="1:3">
      <c r="A23" s="17">
        <f>Data!A23</f>
        <v>45.55343971698818</v>
      </c>
      <c r="B23" s="18">
        <f>Data!B23</f>
        <v>4</v>
      </c>
      <c r="C23" s="17" t="str">
        <f t="shared" si="0"/>
        <v/>
      </c>
    </row>
    <row r="24" spans="1:3">
      <c r="A24" s="17">
        <f>Data!A24</f>
        <v>24.520969916755327</v>
      </c>
      <c r="B24" s="18">
        <f>Data!B24</f>
        <v>3</v>
      </c>
      <c r="C24" s="17" t="str">
        <f t="shared" si="0"/>
        <v/>
      </c>
    </row>
    <row r="25" spans="1:3">
      <c r="A25" s="17">
        <f>Data!A25</f>
        <v>26.059147312646814</v>
      </c>
      <c r="B25" s="18">
        <f>Data!B25</f>
        <v>4</v>
      </c>
      <c r="C25" s="17" t="str">
        <f t="shared" si="0"/>
        <v/>
      </c>
    </row>
    <row r="26" spans="1:3">
      <c r="A26" s="17">
        <f>Data!A26</f>
        <v>53.437461054099337</v>
      </c>
      <c r="B26" s="18">
        <f>Data!B26</f>
        <v>1</v>
      </c>
      <c r="C26" s="17">
        <f t="shared" si="0"/>
        <v>53.437461054099337</v>
      </c>
    </row>
    <row r="27" spans="1:3">
      <c r="A27" s="17">
        <f>Data!A27</f>
        <v>13.702593737603131</v>
      </c>
      <c r="B27" s="18">
        <f>Data!B27</f>
        <v>2</v>
      </c>
      <c r="C27" s="17" t="str">
        <f t="shared" si="0"/>
        <v/>
      </c>
    </row>
    <row r="28" spans="1:3">
      <c r="A28" s="17">
        <f>Data!A28</f>
        <v>24.187549200110851</v>
      </c>
      <c r="B28" s="18">
        <f>Data!B28</f>
        <v>2</v>
      </c>
      <c r="C28" s="17" t="str">
        <f t="shared" si="0"/>
        <v/>
      </c>
    </row>
    <row r="29" spans="1:3">
      <c r="A29" s="17">
        <f>Data!A29</f>
        <v>36.235221249877348</v>
      </c>
      <c r="B29" s="18">
        <f>Data!B29</f>
        <v>3</v>
      </c>
      <c r="C29" s="17" t="str">
        <f t="shared" si="0"/>
        <v/>
      </c>
    </row>
    <row r="30" spans="1:3">
      <c r="A30" s="17">
        <f>Data!A30</f>
        <v>41.47316848654367</v>
      </c>
      <c r="B30" s="18">
        <f>Data!B30</f>
        <v>2</v>
      </c>
      <c r="C30" s="17" t="str">
        <f t="shared" si="0"/>
        <v/>
      </c>
    </row>
    <row r="31" spans="1:3">
      <c r="A31" s="17">
        <f>Data!A31</f>
        <v>41.198725531294201</v>
      </c>
      <c r="B31" s="18">
        <f>Data!B31</f>
        <v>4</v>
      </c>
      <c r="C31" s="17" t="str">
        <f t="shared" si="0"/>
        <v/>
      </c>
    </row>
    <row r="32" spans="1:3">
      <c r="A32" s="17">
        <f>Data!A32</f>
        <v>59.200101457589405</v>
      </c>
      <c r="B32" s="18">
        <f>Data!B32</f>
        <v>1</v>
      </c>
      <c r="C32" s="17">
        <f t="shared" si="0"/>
        <v>59.200101457589405</v>
      </c>
    </row>
    <row r="33" spans="1:3">
      <c r="A33" s="17">
        <f>Data!A33</f>
        <v>54.054615028688445</v>
      </c>
      <c r="B33" s="18">
        <f>Data!B33</f>
        <v>4</v>
      </c>
      <c r="C33" s="17" t="str">
        <f t="shared" si="0"/>
        <v/>
      </c>
    </row>
    <row r="34" spans="1:3">
      <c r="A34" s="17">
        <f>Data!A34</f>
        <v>41.826754514426689</v>
      </c>
      <c r="B34" s="18">
        <f>Data!B34</f>
        <v>2</v>
      </c>
      <c r="C34" s="17" t="str">
        <f t="shared" si="0"/>
        <v/>
      </c>
    </row>
    <row r="35" spans="1:3">
      <c r="A35" s="17">
        <f>Data!A35</f>
        <v>25.053513054954479</v>
      </c>
      <c r="B35" s="18">
        <f>Data!B35</f>
        <v>4</v>
      </c>
      <c r="C35" s="17" t="str">
        <f t="shared" si="0"/>
        <v/>
      </c>
    </row>
    <row r="36" spans="1:3">
      <c r="A36" s="17">
        <f>Data!A36</f>
        <v>39.07267842455412</v>
      </c>
      <c r="B36" s="18">
        <f>Data!B36</f>
        <v>2</v>
      </c>
      <c r="C36" s="17" t="str">
        <f t="shared" si="0"/>
        <v/>
      </c>
    </row>
    <row r="37" spans="1:3">
      <c r="A37" s="17">
        <f>Data!A37</f>
        <v>31.821589738112348</v>
      </c>
      <c r="B37" s="18">
        <f>Data!B37</f>
        <v>2</v>
      </c>
      <c r="C37" s="17" t="str">
        <f t="shared" si="0"/>
        <v/>
      </c>
    </row>
    <row r="38" spans="1:3">
      <c r="A38" s="17">
        <f>Data!A38</f>
        <v>29.230441863480507</v>
      </c>
      <c r="B38" s="18">
        <f>Data!B38</f>
        <v>2</v>
      </c>
      <c r="C38" s="17" t="str">
        <f t="shared" si="0"/>
        <v/>
      </c>
    </row>
    <row r="39" spans="1:3">
      <c r="A39" s="17">
        <f>Data!A39</f>
        <v>31.796103980490635</v>
      </c>
      <c r="B39" s="18">
        <f>Data!B39</f>
        <v>3</v>
      </c>
      <c r="C39" s="17" t="str">
        <f t="shared" si="0"/>
        <v/>
      </c>
    </row>
    <row r="40" spans="1:3">
      <c r="A40" s="17">
        <f>Data!A40</f>
        <v>39.152870703837422</v>
      </c>
      <c r="B40" s="18">
        <f>Data!B40</f>
        <v>4</v>
      </c>
      <c r="C40" s="17" t="str">
        <f t="shared" si="0"/>
        <v/>
      </c>
    </row>
    <row r="41" spans="1:3">
      <c r="A41" s="17">
        <f>Data!A41</f>
        <v>22.554208480323876</v>
      </c>
      <c r="B41" s="18">
        <f>Data!B41</f>
        <v>2</v>
      </c>
      <c r="C41" s="17" t="str">
        <f t="shared" si="0"/>
        <v/>
      </c>
    </row>
    <row r="42" spans="1:3">
      <c r="A42" s="17">
        <f>Data!A42</f>
        <v>33.641128309332728</v>
      </c>
      <c r="B42" s="18">
        <f>Data!B42</f>
        <v>2</v>
      </c>
      <c r="C42" s="17" t="str">
        <f t="shared" si="0"/>
        <v/>
      </c>
    </row>
    <row r="43" spans="1:3">
      <c r="A43" s="17">
        <f>Data!A43</f>
        <v>47.806128520129242</v>
      </c>
      <c r="B43" s="18">
        <f>Data!B43</f>
        <v>4</v>
      </c>
      <c r="C43" s="17" t="str">
        <f t="shared" si="0"/>
        <v/>
      </c>
    </row>
    <row r="44" spans="1:3">
      <c r="A44" s="17">
        <f>Data!A44</f>
        <v>31.09147211647273</v>
      </c>
      <c r="B44" s="18">
        <f>Data!B44</f>
        <v>1</v>
      </c>
      <c r="C44" s="17">
        <f t="shared" si="0"/>
        <v>31.09147211647273</v>
      </c>
    </row>
    <row r="45" spans="1:3">
      <c r="A45" s="17">
        <f>Data!A45</f>
        <v>37.886746621193424</v>
      </c>
      <c r="B45" s="18">
        <f>Data!B45</f>
        <v>2</v>
      </c>
      <c r="C45" s="17" t="str">
        <f t="shared" si="0"/>
        <v/>
      </c>
    </row>
    <row r="46" spans="1:3">
      <c r="A46" s="17">
        <f>Data!A46</f>
        <v>30.965765530816324</v>
      </c>
      <c r="B46" s="18">
        <f>Data!B46</f>
        <v>2</v>
      </c>
      <c r="C46" s="17" t="str">
        <f t="shared" si="0"/>
        <v/>
      </c>
    </row>
    <row r="47" spans="1:3">
      <c r="A47" s="17">
        <f>Data!A47</f>
        <v>50.771440343585454</v>
      </c>
      <c r="B47" s="18">
        <f>Data!B47</f>
        <v>2</v>
      </c>
      <c r="C47" s="17" t="str">
        <f t="shared" si="0"/>
        <v/>
      </c>
    </row>
    <row r="48" spans="1:3">
      <c r="A48" s="17">
        <f>Data!A48</f>
        <v>21.16762538627902</v>
      </c>
      <c r="B48" s="18">
        <f>Data!B48</f>
        <v>3</v>
      </c>
      <c r="C48" s="17" t="str">
        <f t="shared" si="0"/>
        <v/>
      </c>
    </row>
    <row r="49" spans="1:3">
      <c r="A49" s="17">
        <f>Data!A49</f>
        <v>54.671996200986776</v>
      </c>
      <c r="B49" s="18">
        <f>Data!B49</f>
        <v>2</v>
      </c>
      <c r="C49" s="17" t="str">
        <f t="shared" si="0"/>
        <v/>
      </c>
    </row>
    <row r="50" spans="1:3">
      <c r="A50" s="17">
        <f>Data!A50</f>
        <v>31.295929048042414</v>
      </c>
      <c r="B50" s="18">
        <f>Data!B50</f>
        <v>3</v>
      </c>
      <c r="C50" s="17" t="str">
        <f t="shared" si="0"/>
        <v/>
      </c>
    </row>
    <row r="51" spans="1:3">
      <c r="A51" s="17">
        <f>Data!A51</f>
        <v>44.741151806377104</v>
      </c>
      <c r="B51" s="18">
        <f>Data!B51</f>
        <v>4</v>
      </c>
      <c r="C51" s="17" t="str">
        <f t="shared" si="0"/>
        <v/>
      </c>
    </row>
    <row r="52" spans="1:3">
      <c r="A52" s="17">
        <f>Data!A52</f>
        <v>43.809006982539884</v>
      </c>
      <c r="B52" s="18">
        <f>Data!B52</f>
        <v>4</v>
      </c>
      <c r="C52" s="17" t="str">
        <f t="shared" si="0"/>
        <v/>
      </c>
    </row>
    <row r="53" spans="1:3">
      <c r="A53" s="17">
        <f>Data!A53</f>
        <v>41.953601245414134</v>
      </c>
      <c r="B53" s="18">
        <f>Data!B53</f>
        <v>2</v>
      </c>
      <c r="C53" s="17" t="str">
        <f t="shared" si="0"/>
        <v/>
      </c>
    </row>
    <row r="54" spans="1:3">
      <c r="A54" s="17">
        <f>Data!A54</f>
        <v>60.805513038292069</v>
      </c>
      <c r="B54" s="18">
        <f>Data!B54</f>
        <v>2</v>
      </c>
      <c r="C54" s="17" t="str">
        <f t="shared" si="0"/>
        <v/>
      </c>
    </row>
    <row r="55" spans="1:3">
      <c r="A55" s="17">
        <f>Data!A55</f>
        <v>53.437103161621017</v>
      </c>
      <c r="B55" s="18">
        <f>Data!B55</f>
        <v>1</v>
      </c>
      <c r="C55" s="17">
        <f t="shared" si="0"/>
        <v>53.437103161621017</v>
      </c>
    </row>
    <row r="56" spans="1:3">
      <c r="A56" s="17">
        <f>Data!A56</f>
        <v>39.345024748777398</v>
      </c>
      <c r="B56" s="18">
        <f>Data!B56</f>
        <v>1</v>
      </c>
      <c r="C56" s="17">
        <f t="shared" si="0"/>
        <v>39.345024748777398</v>
      </c>
    </row>
    <row r="57" spans="1:3">
      <c r="A57" s="17">
        <f>Data!A57</f>
        <v>32.291600115490077</v>
      </c>
      <c r="B57" s="18">
        <f>Data!B57</f>
        <v>3</v>
      </c>
      <c r="C57" s="17" t="str">
        <f t="shared" si="0"/>
        <v/>
      </c>
    </row>
    <row r="58" spans="1:3">
      <c r="A58" s="17">
        <f>Data!A58</f>
        <v>35.79750541094333</v>
      </c>
      <c r="B58" s="18">
        <f>Data!B58</f>
        <v>4</v>
      </c>
      <c r="C58" s="17" t="str">
        <f t="shared" si="0"/>
        <v/>
      </c>
    </row>
    <row r="59" spans="1:3">
      <c r="A59" s="17">
        <f>Data!A59</f>
        <v>33.713157510956783</v>
      </c>
      <c r="B59" s="18">
        <f>Data!B59</f>
        <v>1</v>
      </c>
      <c r="C59" s="17">
        <f t="shared" si="0"/>
        <v>33.713157510956783</v>
      </c>
    </row>
    <row r="60" spans="1:3">
      <c r="A60" s="17">
        <f>Data!A60</f>
        <v>44.694961756628658</v>
      </c>
      <c r="B60" s="18">
        <f>Data!B60</f>
        <v>4</v>
      </c>
      <c r="C60" s="17" t="str">
        <f t="shared" si="0"/>
        <v/>
      </c>
    </row>
    <row r="61" spans="1:3">
      <c r="A61" s="17">
        <f>Data!A61</f>
        <v>41.027506718959991</v>
      </c>
      <c r="B61" s="18">
        <f>Data!B61</f>
        <v>4</v>
      </c>
      <c r="C61" s="17" t="str">
        <f t="shared" si="0"/>
        <v/>
      </c>
    </row>
    <row r="62" spans="1:3">
      <c r="A62" s="17">
        <f>Data!A62</f>
        <v>38.943935388359066</v>
      </c>
      <c r="B62" s="18">
        <f>Data!B62</f>
        <v>4</v>
      </c>
      <c r="C62" s="17" t="str">
        <f t="shared" si="0"/>
        <v/>
      </c>
    </row>
    <row r="63" spans="1:3">
      <c r="A63" s="17">
        <f>Data!A63</f>
        <v>43.833299800352215</v>
      </c>
      <c r="B63" s="18">
        <f>Data!B63</f>
        <v>2</v>
      </c>
      <c r="C63" s="17" t="str">
        <f t="shared" si="0"/>
        <v/>
      </c>
    </row>
    <row r="64" spans="1:3">
      <c r="A64" s="17">
        <f>Data!A64</f>
        <v>24.110483304000283</v>
      </c>
      <c r="B64" s="18">
        <f>Data!B64</f>
        <v>4</v>
      </c>
      <c r="C64" s="17" t="str">
        <f t="shared" si="0"/>
        <v/>
      </c>
    </row>
    <row r="65" spans="1:3">
      <c r="A65" s="17">
        <f>Data!A65</f>
        <v>37.94645298189316</v>
      </c>
      <c r="B65" s="18">
        <f>Data!B65</f>
        <v>3</v>
      </c>
      <c r="C65" s="17" t="str">
        <f t="shared" si="0"/>
        <v/>
      </c>
    </row>
    <row r="66" spans="1:3">
      <c r="A66" s="17">
        <f>Data!A66</f>
        <v>29.475621966392367</v>
      </c>
      <c r="B66" s="18">
        <f>Data!B66</f>
        <v>1</v>
      </c>
      <c r="C66" s="17">
        <f t="shared" si="0"/>
        <v>29.475621966392367</v>
      </c>
    </row>
    <row r="67" spans="1:3">
      <c r="A67" s="17">
        <f>Data!A67</f>
        <v>44.39221521710536</v>
      </c>
      <c r="B67" s="18">
        <f>Data!B67</f>
        <v>3</v>
      </c>
      <c r="C67" s="17" t="str">
        <f t="shared" ref="C67:C130" si="1">IF(B67=$E$2,A67,"")</f>
        <v/>
      </c>
    </row>
    <row r="68" spans="1:3">
      <c r="A68" s="17">
        <f>Data!A68</f>
        <v>37.571413835342057</v>
      </c>
      <c r="B68" s="18">
        <f>Data!B68</f>
        <v>4</v>
      </c>
      <c r="C68" s="17" t="str">
        <f t="shared" si="1"/>
        <v/>
      </c>
    </row>
    <row r="69" spans="1:3">
      <c r="A69" s="17">
        <f>Data!A69</f>
        <v>29.522295117768863</v>
      </c>
      <c r="B69" s="18">
        <f>Data!B69</f>
        <v>2</v>
      </c>
      <c r="C69" s="17" t="str">
        <f t="shared" si="1"/>
        <v/>
      </c>
    </row>
    <row r="70" spans="1:3">
      <c r="A70" s="17">
        <f>Data!A70</f>
        <v>55.342072582085663</v>
      </c>
      <c r="B70" s="18">
        <f>Data!B70</f>
        <v>3</v>
      </c>
      <c r="C70" s="17" t="str">
        <f t="shared" si="1"/>
        <v/>
      </c>
    </row>
    <row r="71" spans="1:3">
      <c r="A71" s="17">
        <f>Data!A71</f>
        <v>25.91805309177866</v>
      </c>
      <c r="B71" s="18">
        <f>Data!B71</f>
        <v>4</v>
      </c>
      <c r="C71" s="17" t="str">
        <f t="shared" si="1"/>
        <v/>
      </c>
    </row>
    <row r="72" spans="1:3">
      <c r="A72" s="17">
        <f>Data!A72</f>
        <v>39.762869794724345</v>
      </c>
      <c r="B72" s="18">
        <f>Data!B72</f>
        <v>2</v>
      </c>
      <c r="C72" s="17" t="str">
        <f t="shared" si="1"/>
        <v/>
      </c>
    </row>
    <row r="73" spans="1:3">
      <c r="A73" s="17">
        <f>Data!A73</f>
        <v>41.914769475411596</v>
      </c>
      <c r="B73" s="18">
        <f>Data!B73</f>
        <v>1</v>
      </c>
      <c r="C73" s="17">
        <f t="shared" si="1"/>
        <v>41.914769475411596</v>
      </c>
    </row>
    <row r="74" spans="1:3">
      <c r="A74" s="17">
        <f>Data!A74</f>
        <v>43.288227448678242</v>
      </c>
      <c r="B74" s="18">
        <f>Data!B74</f>
        <v>3</v>
      </c>
      <c r="C74" s="17" t="str">
        <f t="shared" si="1"/>
        <v/>
      </c>
    </row>
    <row r="75" spans="1:3">
      <c r="A75" s="17">
        <f>Data!A75</f>
        <v>41.816664685295457</v>
      </c>
      <c r="B75" s="18">
        <f>Data!B75</f>
        <v>4</v>
      </c>
      <c r="C75" s="17" t="str">
        <f t="shared" si="1"/>
        <v/>
      </c>
    </row>
    <row r="76" spans="1:3">
      <c r="A76" s="17">
        <f>Data!A76</f>
        <v>34.418848382661295</v>
      </c>
      <c r="B76" s="18">
        <f>Data!B76</f>
        <v>2</v>
      </c>
      <c r="C76" s="17" t="str">
        <f t="shared" si="1"/>
        <v/>
      </c>
    </row>
    <row r="77" spans="1:3">
      <c r="A77" s="17">
        <f>Data!A77</f>
        <v>56.293559296373672</v>
      </c>
      <c r="B77" s="18">
        <f>Data!B77</f>
        <v>3</v>
      </c>
      <c r="C77" s="17" t="str">
        <f t="shared" si="1"/>
        <v/>
      </c>
    </row>
    <row r="78" spans="1:3">
      <c r="A78" s="17">
        <f>Data!A78</f>
        <v>20.393306924307375</v>
      </c>
      <c r="B78" s="18">
        <f>Data!B78</f>
        <v>3</v>
      </c>
      <c r="C78" s="17" t="str">
        <f t="shared" si="1"/>
        <v/>
      </c>
    </row>
    <row r="79" spans="1:3">
      <c r="A79" s="17">
        <f>Data!A79</f>
        <v>38.684073317425977</v>
      </c>
      <c r="B79" s="18">
        <f>Data!B79</f>
        <v>4</v>
      </c>
      <c r="C79" s="17" t="str">
        <f t="shared" si="1"/>
        <v/>
      </c>
    </row>
    <row r="80" spans="1:3">
      <c r="A80" s="17">
        <f>Data!A80</f>
        <v>24.162612244555426</v>
      </c>
      <c r="B80" s="18">
        <f>Data!B80</f>
        <v>3</v>
      </c>
      <c r="C80" s="17" t="str">
        <f t="shared" si="1"/>
        <v/>
      </c>
    </row>
    <row r="81" spans="1:3">
      <c r="A81" s="17">
        <f>Data!A81</f>
        <v>42.117100602524786</v>
      </c>
      <c r="B81" s="18">
        <f>Data!B81</f>
        <v>1</v>
      </c>
      <c r="C81" s="17">
        <f t="shared" si="1"/>
        <v>42.117100602524786</v>
      </c>
    </row>
    <row r="82" spans="1:3">
      <c r="A82" s="17">
        <f>Data!A82</f>
        <v>38.265859985897926</v>
      </c>
      <c r="B82" s="18">
        <f>Data!B82</f>
        <v>1</v>
      </c>
      <c r="C82" s="17">
        <f t="shared" si="1"/>
        <v>38.265859985897926</v>
      </c>
    </row>
    <row r="83" spans="1:3">
      <c r="A83" s="17">
        <f>Data!A83</f>
        <v>40.150343035632716</v>
      </c>
      <c r="B83" s="18">
        <f>Data!B83</f>
        <v>3</v>
      </c>
      <c r="C83" s="17" t="str">
        <f t="shared" si="1"/>
        <v/>
      </c>
    </row>
    <row r="84" spans="1:3">
      <c r="A84" s="17">
        <f>Data!A84</f>
        <v>32.559560265273191</v>
      </c>
      <c r="B84" s="18">
        <f>Data!B84</f>
        <v>2</v>
      </c>
      <c r="C84" s="17" t="str">
        <f t="shared" si="1"/>
        <v/>
      </c>
    </row>
    <row r="85" spans="1:3">
      <c r="A85" s="17">
        <f>Data!A85</f>
        <v>41.986302857577506</v>
      </c>
      <c r="B85" s="18">
        <f>Data!B85</f>
        <v>3</v>
      </c>
      <c r="C85" s="17" t="str">
        <f t="shared" si="1"/>
        <v/>
      </c>
    </row>
    <row r="86" spans="1:3">
      <c r="A86" s="17">
        <f>Data!A86</f>
        <v>39.151798309299217</v>
      </c>
      <c r="B86" s="18">
        <f>Data!B86</f>
        <v>4</v>
      </c>
      <c r="C86" s="17" t="str">
        <f t="shared" si="1"/>
        <v/>
      </c>
    </row>
    <row r="87" spans="1:3">
      <c r="A87" s="17">
        <f>Data!A87</f>
        <v>28.110802666498188</v>
      </c>
      <c r="B87" s="18">
        <f>Data!B87</f>
        <v>3</v>
      </c>
      <c r="C87" s="17" t="str">
        <f t="shared" si="1"/>
        <v/>
      </c>
    </row>
    <row r="88" spans="1:3">
      <c r="A88" s="17">
        <f>Data!A88</f>
        <v>25.385238900579317</v>
      </c>
      <c r="B88" s="18">
        <f>Data!B88</f>
        <v>2</v>
      </c>
      <c r="C88" s="17" t="str">
        <f t="shared" si="1"/>
        <v/>
      </c>
    </row>
    <row r="89" spans="1:3">
      <c r="A89" s="17">
        <f>Data!A89</f>
        <v>40.042423772421941</v>
      </c>
      <c r="B89" s="18">
        <f>Data!B89</f>
        <v>4</v>
      </c>
      <c r="C89" s="17" t="str">
        <f t="shared" si="1"/>
        <v/>
      </c>
    </row>
    <row r="90" spans="1:3">
      <c r="A90" s="17">
        <f>Data!A90</f>
        <v>40.99652909655002</v>
      </c>
      <c r="B90" s="18">
        <f>Data!B90</f>
        <v>4</v>
      </c>
      <c r="C90" s="17" t="str">
        <f t="shared" si="1"/>
        <v/>
      </c>
    </row>
    <row r="91" spans="1:3">
      <c r="A91" s="17">
        <f>Data!A91</f>
        <v>26.58281199058332</v>
      </c>
      <c r="B91" s="18">
        <f>Data!B91</f>
        <v>4</v>
      </c>
      <c r="C91" s="17" t="str">
        <f t="shared" si="1"/>
        <v/>
      </c>
    </row>
    <row r="92" spans="1:3">
      <c r="A92" s="17">
        <f>Data!A92</f>
        <v>46.943522843547413</v>
      </c>
      <c r="B92" s="18">
        <f>Data!B92</f>
        <v>2</v>
      </c>
      <c r="C92" s="17" t="str">
        <f t="shared" si="1"/>
        <v/>
      </c>
    </row>
    <row r="93" spans="1:3">
      <c r="A93" s="17">
        <f>Data!A93</f>
        <v>25.37835591370073</v>
      </c>
      <c r="B93" s="18">
        <f>Data!B93</f>
        <v>2</v>
      </c>
      <c r="C93" s="17" t="str">
        <f t="shared" si="1"/>
        <v/>
      </c>
    </row>
    <row r="94" spans="1:3">
      <c r="A94" s="17">
        <f>Data!A94</f>
        <v>53.294325856877137</v>
      </c>
      <c r="B94" s="18">
        <f>Data!B94</f>
        <v>3</v>
      </c>
      <c r="C94" s="17" t="str">
        <f t="shared" si="1"/>
        <v/>
      </c>
    </row>
    <row r="95" spans="1:3">
      <c r="A95" s="17">
        <f>Data!A95</f>
        <v>52.735585903820656</v>
      </c>
      <c r="B95" s="18">
        <f>Data!B95</f>
        <v>3</v>
      </c>
      <c r="C95" s="17" t="str">
        <f t="shared" si="1"/>
        <v/>
      </c>
    </row>
    <row r="96" spans="1:3">
      <c r="A96" s="17">
        <f>Data!A96</f>
        <v>34.677330316005452</v>
      </c>
      <c r="B96" s="18">
        <f>Data!B96</f>
        <v>3</v>
      </c>
      <c r="C96" s="17" t="str">
        <f t="shared" si="1"/>
        <v/>
      </c>
    </row>
    <row r="97" spans="1:3">
      <c r="A97" s="17">
        <f>Data!A97</f>
        <v>56.566259658034852</v>
      </c>
      <c r="B97" s="18">
        <f>Data!B97</f>
        <v>2</v>
      </c>
      <c r="C97" s="17" t="str">
        <f t="shared" si="1"/>
        <v/>
      </c>
    </row>
    <row r="98" spans="1:3">
      <c r="A98" s="17">
        <f>Data!A98</f>
        <v>28.99405499459353</v>
      </c>
      <c r="B98" s="18">
        <f>Data!B98</f>
        <v>3</v>
      </c>
      <c r="C98" s="17" t="str">
        <f t="shared" si="1"/>
        <v/>
      </c>
    </row>
    <row r="99" spans="1:3">
      <c r="A99" s="17">
        <f>Data!A99</f>
        <v>65.066475376533305</v>
      </c>
      <c r="B99" s="18">
        <f>Data!B99</f>
        <v>1</v>
      </c>
      <c r="C99" s="17">
        <f t="shared" si="1"/>
        <v>65.066475376533305</v>
      </c>
    </row>
    <row r="100" spans="1:3">
      <c r="A100" s="17">
        <f>Data!A100</f>
        <v>18.915253251435615</v>
      </c>
      <c r="B100" s="18">
        <f>Data!B100</f>
        <v>3</v>
      </c>
      <c r="C100" s="17" t="str">
        <f t="shared" si="1"/>
        <v/>
      </c>
    </row>
    <row r="101" spans="1:3">
      <c r="A101" s="17">
        <f>Data!A101</f>
        <v>32.771505529771254</v>
      </c>
      <c r="B101" s="18">
        <f>Data!B101</f>
        <v>4</v>
      </c>
      <c r="C101" s="17" t="str">
        <f t="shared" si="1"/>
        <v/>
      </c>
    </row>
    <row r="102" spans="1:3">
      <c r="A102" s="17">
        <f>Data!A102</f>
        <v>26.777743839779195</v>
      </c>
      <c r="B102" s="18">
        <f>Data!B102</f>
        <v>4</v>
      </c>
      <c r="C102" s="17" t="str">
        <f t="shared" si="1"/>
        <v/>
      </c>
    </row>
    <row r="103" spans="1:3">
      <c r="A103" s="17">
        <f>Data!A103</f>
        <v>55.402625506211088</v>
      </c>
      <c r="B103" s="18">
        <f>Data!B103</f>
        <v>1</v>
      </c>
      <c r="C103" s="17">
        <f t="shared" si="1"/>
        <v>55.402625506211088</v>
      </c>
    </row>
    <row r="104" spans="1:3">
      <c r="A104" s="17">
        <f>Data!A104</f>
        <v>38.317191165662869</v>
      </c>
      <c r="B104" s="18">
        <f>Data!B104</f>
        <v>1</v>
      </c>
      <c r="C104" s="17">
        <f t="shared" si="1"/>
        <v>38.317191165662869</v>
      </c>
    </row>
    <row r="105" spans="1:3">
      <c r="A105" s="17">
        <f>Data!A105</f>
        <v>50.369456437073111</v>
      </c>
      <c r="B105" s="18">
        <f>Data!B105</f>
        <v>1</v>
      </c>
      <c r="C105" s="17">
        <f t="shared" si="1"/>
        <v>50.369456437073111</v>
      </c>
    </row>
    <row r="106" spans="1:3">
      <c r="A106" s="17">
        <f>Data!A106</f>
        <v>48.435043835255634</v>
      </c>
      <c r="B106" s="18">
        <f>Data!B106</f>
        <v>3</v>
      </c>
      <c r="C106" s="17" t="str">
        <f t="shared" si="1"/>
        <v/>
      </c>
    </row>
    <row r="107" spans="1:3">
      <c r="A107" s="17">
        <f>Data!A107</f>
        <v>23.398415162048963</v>
      </c>
      <c r="B107" s="18">
        <f>Data!B107</f>
        <v>4</v>
      </c>
      <c r="C107" s="17" t="str">
        <f t="shared" si="1"/>
        <v/>
      </c>
    </row>
    <row r="108" spans="1:3">
      <c r="A108" s="17">
        <f>Data!A108</f>
        <v>32.839094026228345</v>
      </c>
      <c r="B108" s="18">
        <f>Data!B108</f>
        <v>2</v>
      </c>
      <c r="C108" s="17" t="str">
        <f t="shared" si="1"/>
        <v/>
      </c>
    </row>
    <row r="109" spans="1:3">
      <c r="A109" s="17">
        <f>Data!A109</f>
        <v>42.272425544894745</v>
      </c>
      <c r="B109" s="18">
        <f>Data!B109</f>
        <v>1</v>
      </c>
      <c r="C109" s="17">
        <f t="shared" si="1"/>
        <v>42.272425544894745</v>
      </c>
    </row>
    <row r="110" spans="1:3">
      <c r="A110" s="17">
        <f>Data!A110</f>
        <v>28.638854134174654</v>
      </c>
      <c r="B110" s="18">
        <f>Data!B110</f>
        <v>1</v>
      </c>
      <c r="C110" s="17">
        <f t="shared" si="1"/>
        <v>28.638854134174654</v>
      </c>
    </row>
    <row r="111" spans="1:3">
      <c r="A111" s="17">
        <f>Data!A111</f>
        <v>35.854143084637307</v>
      </c>
      <c r="B111" s="18">
        <f>Data!B111</f>
        <v>4</v>
      </c>
      <c r="C111" s="17" t="str">
        <f t="shared" si="1"/>
        <v/>
      </c>
    </row>
    <row r="112" spans="1:3">
      <c r="A112" s="17">
        <f>Data!A112</f>
        <v>28.320932958331461</v>
      </c>
      <c r="B112" s="18">
        <f>Data!B112</f>
        <v>2</v>
      </c>
      <c r="C112" s="17" t="str">
        <f t="shared" si="1"/>
        <v/>
      </c>
    </row>
    <row r="113" spans="1:3">
      <c r="A113" s="17">
        <f>Data!A113</f>
        <v>38.236212181407666</v>
      </c>
      <c r="B113" s="18">
        <f>Data!B113</f>
        <v>3</v>
      </c>
      <c r="C113" s="17" t="str">
        <f t="shared" si="1"/>
        <v/>
      </c>
    </row>
    <row r="114" spans="1:3">
      <c r="A114" s="17">
        <f>Data!A114</f>
        <v>19.775176766736994</v>
      </c>
      <c r="B114" s="18">
        <f>Data!B114</f>
        <v>3</v>
      </c>
      <c r="C114" s="17" t="str">
        <f t="shared" si="1"/>
        <v/>
      </c>
    </row>
    <row r="115" spans="1:3">
      <c r="A115" s="17">
        <f>Data!A115</f>
        <v>36.110107146272476</v>
      </c>
      <c r="B115" s="18">
        <f>Data!B115</f>
        <v>2</v>
      </c>
      <c r="C115" s="17" t="str">
        <f t="shared" si="1"/>
        <v/>
      </c>
    </row>
    <row r="116" spans="1:3">
      <c r="A116" s="17">
        <f>Data!A116</f>
        <v>41.238363822278494</v>
      </c>
      <c r="B116" s="18">
        <f>Data!B116</f>
        <v>1</v>
      </c>
      <c r="C116" s="17">
        <f t="shared" si="1"/>
        <v>41.238363822278494</v>
      </c>
    </row>
    <row r="117" spans="1:3">
      <c r="A117" s="17">
        <f>Data!A117</f>
        <v>29.572446009947051</v>
      </c>
      <c r="B117" s="18">
        <f>Data!B117</f>
        <v>2</v>
      </c>
      <c r="C117" s="17" t="str">
        <f t="shared" si="1"/>
        <v/>
      </c>
    </row>
    <row r="118" spans="1:3">
      <c r="A118" s="17">
        <f>Data!A118</f>
        <v>25.17540891846263</v>
      </c>
      <c r="B118" s="18">
        <f>Data!B118</f>
        <v>2</v>
      </c>
      <c r="C118" s="17" t="str">
        <f t="shared" si="1"/>
        <v/>
      </c>
    </row>
    <row r="119" spans="1:3">
      <c r="A119" s="17">
        <f>Data!A119</f>
        <v>38.593635377924819</v>
      </c>
      <c r="B119" s="18">
        <f>Data!B119</f>
        <v>2</v>
      </c>
      <c r="C119" s="17" t="str">
        <f t="shared" si="1"/>
        <v/>
      </c>
    </row>
    <row r="120" spans="1:3">
      <c r="A120" s="17">
        <f>Data!A120</f>
        <v>36.378127991750183</v>
      </c>
      <c r="B120" s="18">
        <f>Data!B120</f>
        <v>4</v>
      </c>
      <c r="C120" s="17" t="str">
        <f t="shared" si="1"/>
        <v/>
      </c>
    </row>
    <row r="121" spans="1:3">
      <c r="A121" s="17">
        <f>Data!A121</f>
        <v>49.224365029610887</v>
      </c>
      <c r="B121" s="18">
        <f>Data!B121</f>
        <v>1</v>
      </c>
      <c r="C121" s="17">
        <f t="shared" si="1"/>
        <v>49.224365029610887</v>
      </c>
    </row>
    <row r="122" spans="1:3">
      <c r="A122" s="17">
        <f>Data!A122</f>
        <v>39.513246438038173</v>
      </c>
      <c r="B122" s="18">
        <f>Data!B122</f>
        <v>3</v>
      </c>
      <c r="C122" s="17" t="str">
        <f t="shared" si="1"/>
        <v/>
      </c>
    </row>
    <row r="123" spans="1:3">
      <c r="A123" s="17">
        <f>Data!A123</f>
        <v>48.665996124496175</v>
      </c>
      <c r="B123" s="18">
        <f>Data!B123</f>
        <v>1</v>
      </c>
      <c r="C123" s="17">
        <f t="shared" si="1"/>
        <v>48.665996124496175</v>
      </c>
    </row>
    <row r="124" spans="1:3">
      <c r="A124" s="17">
        <f>Data!A124</f>
        <v>38.813568571332006</v>
      </c>
      <c r="B124" s="18">
        <f>Data!B124</f>
        <v>4</v>
      </c>
      <c r="C124" s="17" t="str">
        <f t="shared" si="1"/>
        <v/>
      </c>
    </row>
    <row r="125" spans="1:3">
      <c r="A125" s="17">
        <f>Data!A125</f>
        <v>60.436193895085857</v>
      </c>
      <c r="B125" s="18">
        <f>Data!B125</f>
        <v>4</v>
      </c>
      <c r="C125" s="17" t="str">
        <f t="shared" si="1"/>
        <v/>
      </c>
    </row>
    <row r="126" spans="1:3">
      <c r="A126" s="17">
        <f>Data!A126</f>
        <v>38.551777744875942</v>
      </c>
      <c r="B126" s="18">
        <f>Data!B126</f>
        <v>1</v>
      </c>
      <c r="C126" s="17">
        <f t="shared" si="1"/>
        <v>38.551777744875942</v>
      </c>
    </row>
    <row r="127" spans="1:3">
      <c r="A127" s="17">
        <f>Data!A127</f>
        <v>57.696480106041513</v>
      </c>
      <c r="B127" s="18">
        <f>Data!B127</f>
        <v>1</v>
      </c>
      <c r="C127" s="17">
        <f t="shared" si="1"/>
        <v>57.696480106041513</v>
      </c>
    </row>
    <row r="128" spans="1:3">
      <c r="A128" s="17">
        <f>Data!A128</f>
        <v>50.652509690743997</v>
      </c>
      <c r="B128" s="18">
        <f>Data!B128</f>
        <v>1</v>
      </c>
      <c r="C128" s="17">
        <f t="shared" si="1"/>
        <v>50.652509690743997</v>
      </c>
    </row>
    <row r="129" spans="1:3">
      <c r="A129" s="17">
        <f>Data!A129</f>
        <v>38.606191025374812</v>
      </c>
      <c r="B129" s="18">
        <f>Data!B129</f>
        <v>3</v>
      </c>
      <c r="C129" s="17" t="str">
        <f t="shared" si="1"/>
        <v/>
      </c>
    </row>
    <row r="130" spans="1:3">
      <c r="A130" s="17">
        <f>Data!A130</f>
        <v>24.760682532116807</v>
      </c>
      <c r="B130" s="18">
        <f>Data!B130</f>
        <v>4</v>
      </c>
      <c r="C130" s="17" t="str">
        <f t="shared" si="1"/>
        <v/>
      </c>
    </row>
    <row r="131" spans="1:3">
      <c r="A131" s="17">
        <f>Data!A131</f>
        <v>55.247339594876237</v>
      </c>
      <c r="B131" s="18">
        <f>Data!B131</f>
        <v>2</v>
      </c>
      <c r="C131" s="17" t="str">
        <f t="shared" ref="C131:C194" si="2">IF(B131=$E$2,A131,"")</f>
        <v/>
      </c>
    </row>
    <row r="132" spans="1:3">
      <c r="A132" s="17">
        <f>Data!A132</f>
        <v>32.855402349156208</v>
      </c>
      <c r="B132" s="18">
        <f>Data!B132</f>
        <v>2</v>
      </c>
      <c r="C132" s="17" t="str">
        <f t="shared" si="2"/>
        <v/>
      </c>
    </row>
    <row r="133" spans="1:3">
      <c r="A133" s="17">
        <f>Data!A133</f>
        <v>17.516341486154023</v>
      </c>
      <c r="B133" s="18">
        <f>Data!B133</f>
        <v>1</v>
      </c>
      <c r="C133" s="17">
        <f t="shared" si="2"/>
        <v>17.516341486154023</v>
      </c>
    </row>
    <row r="134" spans="1:3">
      <c r="A134" s="17">
        <f>Data!A134</f>
        <v>42.095270478915005</v>
      </c>
      <c r="B134" s="18">
        <f>Data!B134</f>
        <v>4</v>
      </c>
      <c r="C134" s="17" t="str">
        <f t="shared" si="2"/>
        <v/>
      </c>
    </row>
    <row r="135" spans="1:3">
      <c r="A135" s="17">
        <f>Data!A135</f>
        <v>51.776546153798598</v>
      </c>
      <c r="B135" s="18">
        <f>Data!B135</f>
        <v>4</v>
      </c>
      <c r="C135" s="17" t="str">
        <f t="shared" si="2"/>
        <v/>
      </c>
    </row>
    <row r="136" spans="1:3">
      <c r="A136" s="17">
        <f>Data!A136</f>
        <v>39.078308454519636</v>
      </c>
      <c r="B136" s="18">
        <f>Data!B136</f>
        <v>2</v>
      </c>
      <c r="C136" s="17" t="str">
        <f t="shared" si="2"/>
        <v/>
      </c>
    </row>
    <row r="137" spans="1:3">
      <c r="A137" s="17">
        <f>Data!A137</f>
        <v>33.816578964656877</v>
      </c>
      <c r="B137" s="18">
        <f>Data!B137</f>
        <v>2</v>
      </c>
      <c r="C137" s="17" t="str">
        <f t="shared" si="2"/>
        <v/>
      </c>
    </row>
    <row r="138" spans="1:3">
      <c r="A138" s="17">
        <f>Data!A138</f>
        <v>34.549766899381908</v>
      </c>
      <c r="B138" s="18">
        <f>Data!B138</f>
        <v>1</v>
      </c>
      <c r="C138" s="17">
        <f t="shared" si="2"/>
        <v>34.549766899381908</v>
      </c>
    </row>
    <row r="139" spans="1:3">
      <c r="A139" s="17">
        <f>Data!A139</f>
        <v>45.701794310734954</v>
      </c>
      <c r="B139" s="18">
        <f>Data!B139</f>
        <v>1</v>
      </c>
      <c r="C139" s="17">
        <f t="shared" si="2"/>
        <v>45.701794310734954</v>
      </c>
    </row>
    <row r="140" spans="1:3">
      <c r="A140" s="17">
        <f>Data!A140</f>
        <v>17.06333419885253</v>
      </c>
      <c r="B140" s="18">
        <f>Data!B140</f>
        <v>4</v>
      </c>
      <c r="C140" s="17" t="str">
        <f t="shared" si="2"/>
        <v/>
      </c>
    </row>
    <row r="141" spans="1:3">
      <c r="A141" s="17">
        <f>Data!A141</f>
        <v>32.357756807515116</v>
      </c>
      <c r="B141" s="18">
        <f>Data!B141</f>
        <v>3</v>
      </c>
      <c r="C141" s="17" t="str">
        <f t="shared" si="2"/>
        <v/>
      </c>
    </row>
    <row r="142" spans="1:3">
      <c r="A142" s="17">
        <f>Data!A142</f>
        <v>40.984350557352116</v>
      </c>
      <c r="B142" s="18">
        <f>Data!B142</f>
        <v>3</v>
      </c>
      <c r="C142" s="17" t="str">
        <f t="shared" si="2"/>
        <v/>
      </c>
    </row>
    <row r="143" spans="1:3">
      <c r="A143" s="17">
        <f>Data!A143</f>
        <v>43.395203871310869</v>
      </c>
      <c r="B143" s="18">
        <f>Data!B143</f>
        <v>4</v>
      </c>
      <c r="C143" s="17" t="str">
        <f t="shared" si="2"/>
        <v/>
      </c>
    </row>
    <row r="144" spans="1:3">
      <c r="A144" s="17">
        <f>Data!A144</f>
        <v>26.617579956808669</v>
      </c>
      <c r="B144" s="18">
        <f>Data!B144</f>
        <v>3</v>
      </c>
      <c r="C144" s="17" t="str">
        <f t="shared" si="2"/>
        <v/>
      </c>
    </row>
    <row r="145" spans="1:3">
      <c r="A145" s="17">
        <f>Data!A145</f>
        <v>48.646368715722048</v>
      </c>
      <c r="B145" s="18">
        <f>Data!B145</f>
        <v>1</v>
      </c>
      <c r="C145" s="17">
        <f t="shared" si="2"/>
        <v>48.646368715722048</v>
      </c>
    </row>
    <row r="146" spans="1:3">
      <c r="A146" s="17">
        <f>Data!A146</f>
        <v>43.293775383914131</v>
      </c>
      <c r="B146" s="18">
        <f>Data!B146</f>
        <v>3</v>
      </c>
      <c r="C146" s="17" t="str">
        <f t="shared" si="2"/>
        <v/>
      </c>
    </row>
    <row r="147" spans="1:3">
      <c r="A147" s="17">
        <f>Data!A147</f>
        <v>43.493644677188165</v>
      </c>
      <c r="B147" s="18">
        <f>Data!B147</f>
        <v>3</v>
      </c>
      <c r="C147" s="17" t="str">
        <f t="shared" si="2"/>
        <v/>
      </c>
    </row>
    <row r="148" spans="1:3">
      <c r="A148" s="17">
        <f>Data!A148</f>
        <v>53.561894971091021</v>
      </c>
      <c r="B148" s="18">
        <f>Data!B148</f>
        <v>1</v>
      </c>
      <c r="C148" s="17">
        <f t="shared" si="2"/>
        <v>53.561894971091021</v>
      </c>
    </row>
    <row r="149" spans="1:3">
      <c r="A149" s="17">
        <f>Data!A149</f>
        <v>40.496980646709844</v>
      </c>
      <c r="B149" s="18">
        <f>Data!B149</f>
        <v>2</v>
      </c>
      <c r="C149" s="17" t="str">
        <f t="shared" si="2"/>
        <v/>
      </c>
    </row>
    <row r="150" spans="1:3">
      <c r="A150" s="17">
        <f>Data!A150</f>
        <v>34.399320510618665</v>
      </c>
      <c r="B150" s="18">
        <f>Data!B150</f>
        <v>4</v>
      </c>
      <c r="C150" s="17" t="str">
        <f t="shared" si="2"/>
        <v/>
      </c>
    </row>
    <row r="151" spans="1:3">
      <c r="A151" s="17">
        <f>Data!A151</f>
        <v>41.896296601561211</v>
      </c>
      <c r="B151" s="18">
        <f>Data!B151</f>
        <v>3</v>
      </c>
      <c r="C151" s="17" t="str">
        <f t="shared" si="2"/>
        <v/>
      </c>
    </row>
    <row r="152" spans="1:3">
      <c r="A152" s="17">
        <f>Data!A152</f>
        <v>43.222204335250218</v>
      </c>
      <c r="B152" s="18">
        <f>Data!B152</f>
        <v>1</v>
      </c>
      <c r="C152" s="17">
        <f t="shared" si="2"/>
        <v>43.222204335250218</v>
      </c>
    </row>
    <row r="153" spans="1:3">
      <c r="A153" s="17">
        <f>Data!A153</f>
        <v>16.692394973823074</v>
      </c>
      <c r="B153" s="18">
        <f>Data!B153</f>
        <v>1</v>
      </c>
      <c r="C153" s="17">
        <f t="shared" si="2"/>
        <v>16.692394973823074</v>
      </c>
    </row>
    <row r="154" spans="1:3">
      <c r="A154" s="17">
        <f>Data!A154</f>
        <v>34.382526834987345</v>
      </c>
      <c r="B154" s="18">
        <f>Data!B154</f>
        <v>2</v>
      </c>
      <c r="C154" s="17" t="str">
        <f t="shared" si="2"/>
        <v/>
      </c>
    </row>
    <row r="155" spans="1:3">
      <c r="A155" s="17">
        <f>Data!A155</f>
        <v>31.759147079187805</v>
      </c>
      <c r="B155" s="18">
        <f>Data!B155</f>
        <v>2</v>
      </c>
      <c r="C155" s="17" t="str">
        <f t="shared" si="2"/>
        <v/>
      </c>
    </row>
    <row r="156" spans="1:3">
      <c r="A156" s="17">
        <f>Data!A156</f>
        <v>42.62978392162664</v>
      </c>
      <c r="B156" s="18">
        <f>Data!B156</f>
        <v>2</v>
      </c>
      <c r="C156" s="17" t="str">
        <f t="shared" si="2"/>
        <v/>
      </c>
    </row>
    <row r="157" spans="1:3">
      <c r="A157" s="17">
        <f>Data!A157</f>
        <v>47.348187782652985</v>
      </c>
      <c r="B157" s="18">
        <f>Data!B157</f>
        <v>2</v>
      </c>
      <c r="C157" s="17" t="str">
        <f t="shared" si="2"/>
        <v/>
      </c>
    </row>
    <row r="158" spans="1:3">
      <c r="A158" s="17">
        <f>Data!A158</f>
        <v>50.40591893205287</v>
      </c>
      <c r="B158" s="18">
        <f>Data!B158</f>
        <v>3</v>
      </c>
      <c r="C158" s="17" t="str">
        <f t="shared" si="2"/>
        <v/>
      </c>
    </row>
    <row r="159" spans="1:3">
      <c r="A159" s="17">
        <f>Data!A159</f>
        <v>33.388097372650975</v>
      </c>
      <c r="B159" s="18">
        <f>Data!B159</f>
        <v>4</v>
      </c>
      <c r="C159" s="17" t="str">
        <f t="shared" si="2"/>
        <v/>
      </c>
    </row>
    <row r="160" spans="1:3">
      <c r="A160" s="17">
        <f>Data!A160</f>
        <v>44.955161971473728</v>
      </c>
      <c r="B160" s="18">
        <f>Data!B160</f>
        <v>1</v>
      </c>
      <c r="C160" s="17">
        <f t="shared" si="2"/>
        <v>44.955161971473728</v>
      </c>
    </row>
    <row r="161" spans="1:3">
      <c r="A161" s="17">
        <f>Data!A161</f>
        <v>57.188495390883581</v>
      </c>
      <c r="B161" s="18">
        <f>Data!B161</f>
        <v>4</v>
      </c>
      <c r="C161" s="17" t="str">
        <f t="shared" si="2"/>
        <v/>
      </c>
    </row>
    <row r="162" spans="1:3">
      <c r="A162" s="17">
        <f>Data!A162</f>
        <v>42.640619064734018</v>
      </c>
      <c r="B162" s="18">
        <f>Data!B162</f>
        <v>3</v>
      </c>
      <c r="C162" s="17" t="str">
        <f t="shared" si="2"/>
        <v/>
      </c>
    </row>
    <row r="163" spans="1:3">
      <c r="A163" s="17">
        <f>Data!A163</f>
        <v>42.97511084949376</v>
      </c>
      <c r="B163" s="18">
        <f>Data!B163</f>
        <v>3</v>
      </c>
      <c r="C163" s="17" t="str">
        <f t="shared" si="2"/>
        <v/>
      </c>
    </row>
    <row r="164" spans="1:3">
      <c r="A164" s="17">
        <f>Data!A164</f>
        <v>58.948429639584688</v>
      </c>
      <c r="B164" s="18">
        <f>Data!B164</f>
        <v>1</v>
      </c>
      <c r="C164" s="17">
        <f t="shared" si="2"/>
        <v>58.948429639584688</v>
      </c>
    </row>
    <row r="165" spans="1:3">
      <c r="A165" s="17">
        <f>Data!A165</f>
        <v>51.655530608077399</v>
      </c>
      <c r="B165" s="18">
        <f>Data!B165</f>
        <v>1</v>
      </c>
      <c r="C165" s="17">
        <f t="shared" si="2"/>
        <v>51.655530608077399</v>
      </c>
    </row>
    <row r="166" spans="1:3">
      <c r="A166" s="17">
        <f>Data!A166</f>
        <v>53.672855371267403</v>
      </c>
      <c r="B166" s="18">
        <f>Data!B166</f>
        <v>4</v>
      </c>
      <c r="C166" s="17" t="str">
        <f t="shared" si="2"/>
        <v/>
      </c>
    </row>
    <row r="167" spans="1:3">
      <c r="A167" s="17">
        <f>Data!A167</f>
        <v>32.598979267443674</v>
      </c>
      <c r="B167" s="18">
        <f>Data!B167</f>
        <v>2</v>
      </c>
      <c r="C167" s="17" t="str">
        <f t="shared" si="2"/>
        <v/>
      </c>
    </row>
    <row r="168" spans="1:3">
      <c r="A168" s="17">
        <f>Data!A168</f>
        <v>47.423795101431693</v>
      </c>
      <c r="B168" s="18">
        <f>Data!B168</f>
        <v>3</v>
      </c>
      <c r="C168" s="17" t="str">
        <f t="shared" si="2"/>
        <v/>
      </c>
    </row>
    <row r="169" spans="1:3">
      <c r="A169" s="17">
        <f>Data!A169</f>
        <v>59.192763261780883</v>
      </c>
      <c r="B169" s="18">
        <f>Data!B169</f>
        <v>1</v>
      </c>
      <c r="C169" s="17">
        <f t="shared" si="2"/>
        <v>59.192763261780883</v>
      </c>
    </row>
    <row r="170" spans="1:3">
      <c r="A170" s="17">
        <f>Data!A170</f>
        <v>38.770078860599881</v>
      </c>
      <c r="B170" s="18">
        <f>Data!B170</f>
        <v>2</v>
      </c>
      <c r="C170" s="17" t="str">
        <f t="shared" si="2"/>
        <v/>
      </c>
    </row>
    <row r="171" spans="1:3">
      <c r="A171" s="17">
        <f>Data!A171</f>
        <v>54.713389266433971</v>
      </c>
      <c r="B171" s="18">
        <f>Data!B171</f>
        <v>2</v>
      </c>
      <c r="C171" s="17" t="str">
        <f t="shared" si="2"/>
        <v/>
      </c>
    </row>
    <row r="172" spans="1:3">
      <c r="A172" s="17">
        <f>Data!A172</f>
        <v>37.164785642468161</v>
      </c>
      <c r="B172" s="18">
        <f>Data!B172</f>
        <v>1</v>
      </c>
      <c r="C172" s="17">
        <f t="shared" si="2"/>
        <v>37.164785642468161</v>
      </c>
    </row>
    <row r="173" spans="1:3">
      <c r="A173" s="17">
        <f>Data!A173</f>
        <v>23.053804077463283</v>
      </c>
      <c r="B173" s="18">
        <f>Data!B173</f>
        <v>4</v>
      </c>
      <c r="C173" s="17" t="str">
        <f t="shared" si="2"/>
        <v/>
      </c>
    </row>
    <row r="174" spans="1:3">
      <c r="A174" s="17">
        <f>Data!A174</f>
        <v>31.794990297691804</v>
      </c>
      <c r="B174" s="18">
        <f>Data!B174</f>
        <v>3</v>
      </c>
      <c r="C174" s="17" t="str">
        <f t="shared" si="2"/>
        <v/>
      </c>
    </row>
    <row r="175" spans="1:3">
      <c r="A175" s="17">
        <f>Data!A175</f>
        <v>33.782285653158631</v>
      </c>
      <c r="B175" s="18">
        <f>Data!B175</f>
        <v>1</v>
      </c>
      <c r="C175" s="17">
        <f t="shared" si="2"/>
        <v>33.782285653158631</v>
      </c>
    </row>
    <row r="176" spans="1:3">
      <c r="A176" s="17">
        <f>Data!A176</f>
        <v>43.787636450300575</v>
      </c>
      <c r="B176" s="18">
        <f>Data!B176</f>
        <v>4</v>
      </c>
      <c r="C176" s="17" t="str">
        <f t="shared" si="2"/>
        <v/>
      </c>
    </row>
    <row r="177" spans="1:3">
      <c r="A177" s="17">
        <f>Data!A177</f>
        <v>49.828620143118847</v>
      </c>
      <c r="B177" s="18">
        <f>Data!B177</f>
        <v>2</v>
      </c>
      <c r="C177" s="17" t="str">
        <f t="shared" si="2"/>
        <v/>
      </c>
    </row>
    <row r="178" spans="1:3">
      <c r="A178" s="17">
        <f>Data!A178</f>
        <v>44.879911029246649</v>
      </c>
      <c r="B178" s="18">
        <f>Data!B178</f>
        <v>3</v>
      </c>
      <c r="C178" s="17" t="str">
        <f t="shared" si="2"/>
        <v/>
      </c>
    </row>
    <row r="179" spans="1:3">
      <c r="A179" s="17">
        <f>Data!A179</f>
        <v>38.648395422999336</v>
      </c>
      <c r="B179" s="18">
        <f>Data!B179</f>
        <v>2</v>
      </c>
      <c r="C179" s="17" t="str">
        <f t="shared" si="2"/>
        <v/>
      </c>
    </row>
    <row r="180" spans="1:3">
      <c r="A180" s="17">
        <f>Data!A180</f>
        <v>42.997565740114361</v>
      </c>
      <c r="B180" s="18">
        <f>Data!B180</f>
        <v>4</v>
      </c>
      <c r="C180" s="17" t="str">
        <f t="shared" si="2"/>
        <v/>
      </c>
    </row>
    <row r="181" spans="1:3">
      <c r="A181" s="17">
        <f>Data!A181</f>
        <v>49.28917560750989</v>
      </c>
      <c r="B181" s="18">
        <f>Data!B181</f>
        <v>3</v>
      </c>
      <c r="C181" s="17" t="str">
        <f t="shared" si="2"/>
        <v/>
      </c>
    </row>
    <row r="182" spans="1:3">
      <c r="A182" s="17">
        <f>Data!A182</f>
        <v>52.284347539893943</v>
      </c>
      <c r="B182" s="18">
        <f>Data!B182</f>
        <v>2</v>
      </c>
      <c r="C182" s="17" t="str">
        <f t="shared" si="2"/>
        <v/>
      </c>
    </row>
    <row r="183" spans="1:3">
      <c r="A183" s="17">
        <f>Data!A183</f>
        <v>46.432726486494047</v>
      </c>
      <c r="B183" s="18">
        <f>Data!B183</f>
        <v>3</v>
      </c>
      <c r="C183" s="17" t="str">
        <f t="shared" si="2"/>
        <v/>
      </c>
    </row>
    <row r="184" spans="1:3">
      <c r="A184" s="17">
        <f>Data!A184</f>
        <v>21.308972076293415</v>
      </c>
      <c r="B184" s="18">
        <f>Data!B184</f>
        <v>2</v>
      </c>
      <c r="C184" s="17" t="str">
        <f t="shared" si="2"/>
        <v/>
      </c>
    </row>
    <row r="185" spans="1:3">
      <c r="A185" s="17">
        <f>Data!A185</f>
        <v>38.927192530738353</v>
      </c>
      <c r="B185" s="18">
        <f>Data!B185</f>
        <v>4</v>
      </c>
      <c r="C185" s="17" t="str">
        <f t="shared" si="2"/>
        <v/>
      </c>
    </row>
    <row r="186" spans="1:3">
      <c r="A186" s="17">
        <f>Data!A186</f>
        <v>31.173135450243226</v>
      </c>
      <c r="B186" s="18">
        <f>Data!B186</f>
        <v>4</v>
      </c>
      <c r="C186" s="17" t="str">
        <f t="shared" si="2"/>
        <v/>
      </c>
    </row>
    <row r="187" spans="1:3">
      <c r="A187" s="17">
        <f>Data!A187</f>
        <v>48.964054162810918</v>
      </c>
      <c r="B187" s="18">
        <f>Data!B187</f>
        <v>1</v>
      </c>
      <c r="C187" s="17">
        <f t="shared" si="2"/>
        <v>48.964054162810918</v>
      </c>
    </row>
    <row r="188" spans="1:3">
      <c r="A188" s="17">
        <f>Data!A188</f>
        <v>39.142526256670848</v>
      </c>
      <c r="B188" s="18">
        <f>Data!B188</f>
        <v>3</v>
      </c>
      <c r="C188" s="17" t="str">
        <f t="shared" si="2"/>
        <v/>
      </c>
    </row>
    <row r="189" spans="1:3">
      <c r="A189" s="17">
        <f>Data!A189</f>
        <v>40.641012568504152</v>
      </c>
      <c r="B189" s="18">
        <f>Data!B189</f>
        <v>4</v>
      </c>
      <c r="C189" s="17" t="str">
        <f t="shared" si="2"/>
        <v/>
      </c>
    </row>
    <row r="190" spans="1:3">
      <c r="A190" s="17">
        <f>Data!A190</f>
        <v>23.200212456372398</v>
      </c>
      <c r="B190" s="18">
        <f>Data!B190</f>
        <v>4</v>
      </c>
      <c r="C190" s="17" t="str">
        <f t="shared" si="2"/>
        <v/>
      </c>
    </row>
    <row r="191" spans="1:3">
      <c r="A191" s="17">
        <f>Data!A191</f>
        <v>46.150486302837614</v>
      </c>
      <c r="B191" s="18">
        <f>Data!B191</f>
        <v>4</v>
      </c>
      <c r="C191" s="17" t="str">
        <f t="shared" si="2"/>
        <v/>
      </c>
    </row>
    <row r="192" spans="1:3">
      <c r="A192" s="17">
        <f>Data!A192</f>
        <v>47.536567533884707</v>
      </c>
      <c r="B192" s="18">
        <f>Data!B192</f>
        <v>2</v>
      </c>
      <c r="C192" s="17" t="str">
        <f t="shared" si="2"/>
        <v/>
      </c>
    </row>
    <row r="193" spans="1:3">
      <c r="A193" s="17">
        <f>Data!A193</f>
        <v>43.728183947766212</v>
      </c>
      <c r="B193" s="18">
        <f>Data!B193</f>
        <v>1</v>
      </c>
      <c r="C193" s="17">
        <f t="shared" si="2"/>
        <v>43.728183947766212</v>
      </c>
    </row>
    <row r="194" spans="1:3">
      <c r="A194" s="17">
        <f>Data!A194</f>
        <v>38.652888780003238</v>
      </c>
      <c r="B194" s="18">
        <f>Data!B194</f>
        <v>4</v>
      </c>
      <c r="C194" s="17" t="str">
        <f t="shared" si="2"/>
        <v/>
      </c>
    </row>
    <row r="195" spans="1:3">
      <c r="A195" s="17">
        <f>Data!A195</f>
        <v>42.187489525849877</v>
      </c>
      <c r="B195" s="18">
        <f>Data!B195</f>
        <v>2</v>
      </c>
      <c r="C195" s="17" t="str">
        <f t="shared" ref="C195:C251" si="3">IF(B195=$E$2,A195,"")</f>
        <v/>
      </c>
    </row>
    <row r="196" spans="1:3">
      <c r="A196" s="17">
        <f>Data!A196</f>
        <v>37.601438957965435</v>
      </c>
      <c r="B196" s="18">
        <f>Data!B196</f>
        <v>3</v>
      </c>
      <c r="C196" s="17" t="str">
        <f t="shared" si="3"/>
        <v/>
      </c>
    </row>
    <row r="197" spans="1:3">
      <c r="A197" s="17">
        <f>Data!A197</f>
        <v>41.223919910847876</v>
      </c>
      <c r="B197" s="18">
        <f>Data!B197</f>
        <v>3</v>
      </c>
      <c r="C197" s="17" t="str">
        <f t="shared" si="3"/>
        <v/>
      </c>
    </row>
    <row r="198" spans="1:3">
      <c r="A198" s="17">
        <f>Data!A198</f>
        <v>35.944788068574013</v>
      </c>
      <c r="B198" s="18">
        <f>Data!B198</f>
        <v>1</v>
      </c>
      <c r="C198" s="17">
        <f t="shared" si="3"/>
        <v>35.944788068574013</v>
      </c>
    </row>
    <row r="199" spans="1:3">
      <c r="A199" s="17">
        <f>Data!A199</f>
        <v>39.738802941231661</v>
      </c>
      <c r="B199" s="18">
        <f>Data!B199</f>
        <v>2</v>
      </c>
      <c r="C199" s="17" t="str">
        <f t="shared" si="3"/>
        <v/>
      </c>
    </row>
    <row r="200" spans="1:3">
      <c r="A200" s="17">
        <f>Data!A200</f>
        <v>38.785667809208498</v>
      </c>
      <c r="B200" s="18">
        <f>Data!B200</f>
        <v>1</v>
      </c>
      <c r="C200" s="17">
        <f t="shared" si="3"/>
        <v>38.785667809208498</v>
      </c>
    </row>
    <row r="201" spans="1:3">
      <c r="A201" s="17">
        <f>Data!A201</f>
        <v>41.441817069791554</v>
      </c>
      <c r="B201" s="18">
        <f>Data!B201</f>
        <v>4</v>
      </c>
      <c r="C201" s="17" t="str">
        <f t="shared" si="3"/>
        <v/>
      </c>
    </row>
    <row r="202" spans="1:3">
      <c r="A202" s="17">
        <f>Data!A202</f>
        <v>27.554324302237319</v>
      </c>
      <c r="B202" s="18">
        <f>Data!B202</f>
        <v>1</v>
      </c>
      <c r="C202" s="17">
        <f t="shared" si="3"/>
        <v>27.554324302237319</v>
      </c>
    </row>
    <row r="203" spans="1:3">
      <c r="A203" s="17">
        <f>Data!A203</f>
        <v>37.953294230362353</v>
      </c>
      <c r="B203" s="18">
        <f>Data!B203</f>
        <v>1</v>
      </c>
      <c r="C203" s="17">
        <f t="shared" si="3"/>
        <v>37.953294230362353</v>
      </c>
    </row>
    <row r="204" spans="1:3">
      <c r="A204" s="17">
        <f>Data!A204</f>
        <v>52.001277331372251</v>
      </c>
      <c r="B204" s="18">
        <f>Data!B204</f>
        <v>3</v>
      </c>
      <c r="C204" s="17" t="str">
        <f t="shared" si="3"/>
        <v/>
      </c>
    </row>
    <row r="205" spans="1:3">
      <c r="A205" s="17">
        <f>Data!A205</f>
        <v>35.188876521101619</v>
      </c>
      <c r="B205" s="18">
        <f>Data!B205</f>
        <v>2</v>
      </c>
      <c r="C205" s="17" t="str">
        <f t="shared" si="3"/>
        <v/>
      </c>
    </row>
    <row r="206" spans="1:3">
      <c r="A206" s="17">
        <f>Data!A206</f>
        <v>57.532113368262578</v>
      </c>
      <c r="B206" s="18">
        <f>Data!B206</f>
        <v>1</v>
      </c>
      <c r="C206" s="17">
        <f t="shared" si="3"/>
        <v>57.532113368262578</v>
      </c>
    </row>
    <row r="207" spans="1:3">
      <c r="A207" s="17">
        <f>Data!A207</f>
        <v>48.52183963653949</v>
      </c>
      <c r="B207" s="18">
        <f>Data!B207</f>
        <v>1</v>
      </c>
      <c r="C207" s="17">
        <f t="shared" si="3"/>
        <v>48.52183963653949</v>
      </c>
    </row>
    <row r="208" spans="1:3">
      <c r="A208" s="17">
        <f>Data!A208</f>
        <v>35.298353742310752</v>
      </c>
      <c r="B208" s="18">
        <f>Data!B208</f>
        <v>4</v>
      </c>
      <c r="C208" s="17" t="str">
        <f t="shared" si="3"/>
        <v/>
      </c>
    </row>
    <row r="209" spans="1:3">
      <c r="A209" s="17">
        <f>Data!A209</f>
        <v>51.20395099005119</v>
      </c>
      <c r="B209" s="18">
        <f>Data!B209</f>
        <v>4</v>
      </c>
      <c r="C209" s="17" t="str">
        <f t="shared" si="3"/>
        <v/>
      </c>
    </row>
    <row r="210" spans="1:3">
      <c r="A210" s="17">
        <f>Data!A210</f>
        <v>33.924991176762767</v>
      </c>
      <c r="B210" s="18">
        <f>Data!B210</f>
        <v>1</v>
      </c>
      <c r="C210" s="17">
        <f t="shared" si="3"/>
        <v>33.924991176762767</v>
      </c>
    </row>
    <row r="211" spans="1:3">
      <c r="A211" s="17">
        <f>Data!A211</f>
        <v>28.55410475961655</v>
      </c>
      <c r="B211" s="18">
        <f>Data!B211</f>
        <v>3</v>
      </c>
      <c r="C211" s="17" t="str">
        <f t="shared" si="3"/>
        <v/>
      </c>
    </row>
    <row r="212" spans="1:3">
      <c r="A212" s="17">
        <f>Data!A212</f>
        <v>46.524072828499939</v>
      </c>
      <c r="B212" s="18">
        <f>Data!B212</f>
        <v>4</v>
      </c>
      <c r="C212" s="17" t="str">
        <f t="shared" si="3"/>
        <v/>
      </c>
    </row>
    <row r="213" spans="1:3">
      <c r="A213" s="17">
        <f>Data!A213</f>
        <v>39.33751651214439</v>
      </c>
      <c r="B213" s="18">
        <f>Data!B213</f>
        <v>4</v>
      </c>
      <c r="C213" s="17" t="str">
        <f t="shared" si="3"/>
        <v/>
      </c>
    </row>
    <row r="214" spans="1:3">
      <c r="A214" s="17">
        <f>Data!A214</f>
        <v>40.756539201896963</v>
      </c>
      <c r="B214" s="18">
        <f>Data!B214</f>
        <v>2</v>
      </c>
      <c r="C214" s="17" t="str">
        <f t="shared" si="3"/>
        <v/>
      </c>
    </row>
    <row r="215" spans="1:3">
      <c r="A215" s="17">
        <f>Data!A215</f>
        <v>30.160108373583498</v>
      </c>
      <c r="B215" s="18">
        <f>Data!B215</f>
        <v>3</v>
      </c>
      <c r="C215" s="17" t="str">
        <f t="shared" si="3"/>
        <v/>
      </c>
    </row>
    <row r="216" spans="1:3">
      <c r="A216" s="17">
        <f>Data!A216</f>
        <v>46.490093615375081</v>
      </c>
      <c r="B216" s="18">
        <f>Data!B216</f>
        <v>1</v>
      </c>
      <c r="C216" s="17">
        <f t="shared" si="3"/>
        <v>46.490093615375081</v>
      </c>
    </row>
    <row r="217" spans="1:3">
      <c r="A217" s="17">
        <f>Data!A217</f>
        <v>41.809766218550344</v>
      </c>
      <c r="B217" s="18">
        <f>Data!B217</f>
        <v>1</v>
      </c>
      <c r="C217" s="17">
        <f t="shared" si="3"/>
        <v>41.809766218550344</v>
      </c>
    </row>
    <row r="218" spans="1:3">
      <c r="A218" s="17">
        <f>Data!A218</f>
        <v>45.098688276055491</v>
      </c>
      <c r="B218" s="18">
        <f>Data!B218</f>
        <v>3</v>
      </c>
      <c r="C218" s="17" t="str">
        <f t="shared" si="3"/>
        <v/>
      </c>
    </row>
    <row r="219" spans="1:3">
      <c r="A219" s="17">
        <f>Data!A219</f>
        <v>37.322415267013383</v>
      </c>
      <c r="B219" s="18">
        <f>Data!B219</f>
        <v>3</v>
      </c>
      <c r="C219" s="17" t="str">
        <f t="shared" si="3"/>
        <v/>
      </c>
    </row>
    <row r="220" spans="1:3">
      <c r="A220" s="17">
        <f>Data!A220</f>
        <v>47.611665452392614</v>
      </c>
      <c r="B220" s="18">
        <f>Data!B220</f>
        <v>4</v>
      </c>
      <c r="C220" s="17" t="str">
        <f t="shared" si="3"/>
        <v/>
      </c>
    </row>
    <row r="221" spans="1:3">
      <c r="A221" s="17">
        <f>Data!A221</f>
        <v>23.761777224859298</v>
      </c>
      <c r="B221" s="18">
        <f>Data!B221</f>
        <v>1</v>
      </c>
      <c r="C221" s="17">
        <f t="shared" si="3"/>
        <v>23.761777224859298</v>
      </c>
    </row>
    <row r="222" spans="1:3">
      <c r="A222" s="17">
        <f>Data!A222</f>
        <v>30.413038483213068</v>
      </c>
      <c r="B222" s="18">
        <f>Data!B222</f>
        <v>2</v>
      </c>
      <c r="C222" s="17" t="str">
        <f t="shared" si="3"/>
        <v/>
      </c>
    </row>
    <row r="223" spans="1:3">
      <c r="A223" s="17">
        <f>Data!A223</f>
        <v>37.745030115243594</v>
      </c>
      <c r="B223" s="18">
        <f>Data!B223</f>
        <v>3</v>
      </c>
      <c r="C223" s="17" t="str">
        <f t="shared" si="3"/>
        <v/>
      </c>
    </row>
    <row r="224" spans="1:3">
      <c r="A224" s="17">
        <f>Data!A224</f>
        <v>24.00279824801132</v>
      </c>
      <c r="B224" s="18">
        <f>Data!B224</f>
        <v>3</v>
      </c>
      <c r="C224" s="17" t="str">
        <f t="shared" si="3"/>
        <v/>
      </c>
    </row>
    <row r="225" spans="1:3">
      <c r="A225" s="17">
        <f>Data!A225</f>
        <v>46.679031538842573</v>
      </c>
      <c r="B225" s="18">
        <f>Data!B225</f>
        <v>3</v>
      </c>
      <c r="C225" s="17" t="str">
        <f t="shared" si="3"/>
        <v/>
      </c>
    </row>
    <row r="226" spans="1:3">
      <c r="A226" s="17">
        <f>Data!A226</f>
        <v>14.472694650884119</v>
      </c>
      <c r="B226" s="18">
        <f>Data!B226</f>
        <v>3</v>
      </c>
      <c r="C226" s="17" t="str">
        <f t="shared" si="3"/>
        <v/>
      </c>
    </row>
    <row r="227" spans="1:3">
      <c r="A227" s="17">
        <f>Data!A227</f>
        <v>24.65506821687169</v>
      </c>
      <c r="B227" s="18">
        <f>Data!B227</f>
        <v>1</v>
      </c>
      <c r="C227" s="17">
        <f t="shared" si="3"/>
        <v>24.65506821687169</v>
      </c>
    </row>
    <row r="228" spans="1:3">
      <c r="A228" s="17">
        <f>Data!A228</f>
        <v>29.12554426267776</v>
      </c>
      <c r="B228" s="18">
        <f>Data!B228</f>
        <v>4</v>
      </c>
      <c r="C228" s="17" t="str">
        <f t="shared" si="3"/>
        <v/>
      </c>
    </row>
    <row r="229" spans="1:3">
      <c r="A229" s="17">
        <f>Data!A229</f>
        <v>19.662416014024487</v>
      </c>
      <c r="B229" s="18">
        <f>Data!B229</f>
        <v>3</v>
      </c>
      <c r="C229" s="17" t="str">
        <f t="shared" si="3"/>
        <v/>
      </c>
    </row>
    <row r="230" spans="1:3">
      <c r="A230" s="17">
        <f>Data!A230</f>
        <v>45.297393766712183</v>
      </c>
      <c r="B230" s="18">
        <f>Data!B230</f>
        <v>4</v>
      </c>
      <c r="C230" s="17" t="str">
        <f t="shared" si="3"/>
        <v/>
      </c>
    </row>
    <row r="231" spans="1:3">
      <c r="A231" s="17">
        <f>Data!A231</f>
        <v>46.523958490941965</v>
      </c>
      <c r="B231" s="18">
        <f>Data!B231</f>
        <v>3</v>
      </c>
      <c r="C231" s="17" t="str">
        <f t="shared" si="3"/>
        <v/>
      </c>
    </row>
    <row r="232" spans="1:3">
      <c r="A232" s="17">
        <f>Data!A232</f>
        <v>21.855395509598146</v>
      </c>
      <c r="B232" s="18">
        <f>Data!B232</f>
        <v>4</v>
      </c>
      <c r="C232" s="17" t="str">
        <f t="shared" si="3"/>
        <v/>
      </c>
    </row>
    <row r="233" spans="1:3">
      <c r="A233" s="17">
        <f>Data!A233</f>
        <v>52.770223937937388</v>
      </c>
      <c r="B233" s="18">
        <f>Data!B233</f>
        <v>1</v>
      </c>
      <c r="C233" s="17">
        <f t="shared" si="3"/>
        <v>52.770223937937388</v>
      </c>
    </row>
    <row r="234" spans="1:3">
      <c r="A234" s="17">
        <f>Data!A234</f>
        <v>35.618015794131807</v>
      </c>
      <c r="B234" s="18">
        <f>Data!B234</f>
        <v>2</v>
      </c>
      <c r="C234" s="17" t="str">
        <f t="shared" si="3"/>
        <v/>
      </c>
    </row>
    <row r="235" spans="1:3">
      <c r="A235" s="17">
        <f>Data!A235</f>
        <v>57.866456763071938</v>
      </c>
      <c r="B235" s="18">
        <f>Data!B235</f>
        <v>3</v>
      </c>
      <c r="C235" s="17" t="str">
        <f t="shared" si="3"/>
        <v/>
      </c>
    </row>
    <row r="236" spans="1:3">
      <c r="A236" s="17">
        <f>Data!A236</f>
        <v>30.758509017485576</v>
      </c>
      <c r="B236" s="18">
        <f>Data!B236</f>
        <v>2</v>
      </c>
      <c r="C236" s="17" t="str">
        <f t="shared" si="3"/>
        <v/>
      </c>
    </row>
    <row r="237" spans="1:3">
      <c r="A237" s="17">
        <f>Data!A237</f>
        <v>62.112014075713816</v>
      </c>
      <c r="B237" s="18">
        <f>Data!B237</f>
        <v>3</v>
      </c>
      <c r="C237" s="17" t="str">
        <f t="shared" si="3"/>
        <v/>
      </c>
    </row>
    <row r="238" spans="1:3">
      <c r="A238" s="17">
        <f>Data!A238</f>
        <v>37.23220782876642</v>
      </c>
      <c r="B238" s="18">
        <f>Data!B238</f>
        <v>3</v>
      </c>
      <c r="C238" s="17" t="str">
        <f t="shared" si="3"/>
        <v/>
      </c>
    </row>
    <row r="239" spans="1:3">
      <c r="A239" s="17">
        <f>Data!A239</f>
        <v>52.953062672406247</v>
      </c>
      <c r="B239" s="18">
        <f>Data!B239</f>
        <v>3</v>
      </c>
      <c r="C239" s="17" t="str">
        <f t="shared" si="3"/>
        <v/>
      </c>
    </row>
    <row r="240" spans="1:3">
      <c r="A240" s="17">
        <f>Data!A240</f>
        <v>29.297233985628644</v>
      </c>
      <c r="B240" s="18">
        <f>Data!B240</f>
        <v>4</v>
      </c>
      <c r="C240" s="17" t="str">
        <f t="shared" si="3"/>
        <v/>
      </c>
    </row>
    <row r="241" spans="1:3">
      <c r="A241" s="17">
        <f>Data!A241</f>
        <v>41.921941291851752</v>
      </c>
      <c r="B241" s="18">
        <f>Data!B241</f>
        <v>4</v>
      </c>
      <c r="C241" s="17" t="str">
        <f t="shared" si="3"/>
        <v/>
      </c>
    </row>
    <row r="242" spans="1:3">
      <c r="A242" s="17">
        <f>Data!A242</f>
        <v>30.193112664015587</v>
      </c>
      <c r="B242" s="18">
        <f>Data!B242</f>
        <v>2</v>
      </c>
      <c r="C242" s="17" t="str">
        <f t="shared" si="3"/>
        <v/>
      </c>
    </row>
    <row r="243" spans="1:3">
      <c r="A243" s="17">
        <f>Data!A243</f>
        <v>38.521942259457518</v>
      </c>
      <c r="B243" s="18">
        <f>Data!B243</f>
        <v>4</v>
      </c>
      <c r="C243" s="17" t="str">
        <f t="shared" si="3"/>
        <v/>
      </c>
    </row>
    <row r="244" spans="1:3">
      <c r="A244" s="17">
        <f>Data!A244</f>
        <v>24.334547975118934</v>
      </c>
      <c r="B244" s="18">
        <f>Data!B244</f>
        <v>4</v>
      </c>
      <c r="C244" s="17" t="str">
        <f t="shared" si="3"/>
        <v/>
      </c>
    </row>
    <row r="245" spans="1:3">
      <c r="A245" s="17">
        <f>Data!A245</f>
        <v>38.179017330393393</v>
      </c>
      <c r="B245" s="18">
        <f>Data!B245</f>
        <v>3</v>
      </c>
      <c r="C245" s="17" t="str">
        <f t="shared" si="3"/>
        <v/>
      </c>
    </row>
    <row r="246" spans="1:3">
      <c r="A246" s="17">
        <f>Data!A246</f>
        <v>41.226727983278245</v>
      </c>
      <c r="B246" s="18">
        <f>Data!B246</f>
        <v>4</v>
      </c>
      <c r="C246" s="17" t="str">
        <f t="shared" si="3"/>
        <v/>
      </c>
    </row>
    <row r="247" spans="1:3">
      <c r="A247" s="17">
        <f>Data!A247</f>
        <v>35.010429320801656</v>
      </c>
      <c r="B247" s="18">
        <f>Data!B247</f>
        <v>3</v>
      </c>
      <c r="C247" s="17" t="str">
        <f t="shared" si="3"/>
        <v/>
      </c>
    </row>
    <row r="248" spans="1:3">
      <c r="A248" s="17">
        <f>Data!A248</f>
        <v>34.853405202120335</v>
      </c>
      <c r="B248" s="18">
        <f>Data!B248</f>
        <v>1</v>
      </c>
      <c r="C248" s="17">
        <f t="shared" si="3"/>
        <v>34.853405202120335</v>
      </c>
    </row>
    <row r="249" spans="1:3">
      <c r="A249" s="17">
        <f>Data!A249</f>
        <v>49.168967850674946</v>
      </c>
      <c r="B249" s="18">
        <f>Data!B249</f>
        <v>3</v>
      </c>
      <c r="C249" s="17" t="str">
        <f t="shared" si="3"/>
        <v/>
      </c>
    </row>
    <row r="250" spans="1:3">
      <c r="A250" s="17">
        <f>Data!A250</f>
        <v>32.925324391259096</v>
      </c>
      <c r="B250" s="18">
        <f>Data!B250</f>
        <v>3</v>
      </c>
      <c r="C250" s="17" t="str">
        <f t="shared" si="3"/>
        <v/>
      </c>
    </row>
    <row r="251" spans="1:3">
      <c r="A251" s="19">
        <f>Data!A251</f>
        <v>32.53860844240274</v>
      </c>
      <c r="B251" s="20">
        <f>Data!B251</f>
        <v>3</v>
      </c>
      <c r="C251" s="19" t="str">
        <f t="shared" si="3"/>
        <v/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A388-48C2-4E41-B806-B1206A2FC82C}">
  <dimension ref="A1:B9"/>
  <sheetViews>
    <sheetView showGridLines="0" workbookViewId="0">
      <pane ySplit="1" topLeftCell="A2" activePane="bottomLeft" state="frozen"/>
      <selection pane="bottomLeft" activeCell="B13" sqref="B13"/>
    </sheetView>
  </sheetViews>
  <sheetFormatPr defaultRowHeight="15"/>
  <cols>
    <col min="1" max="1" width="27.28515625" style="21" bestFit="1" customWidth="1"/>
    <col min="2" max="2" width="13.140625" style="22" bestFit="1" customWidth="1"/>
  </cols>
  <sheetData>
    <row r="1" spans="1:2" ht="19.5">
      <c r="A1" s="23" t="s">
        <v>9</v>
      </c>
      <c r="B1" s="24" t="s">
        <v>1</v>
      </c>
    </row>
    <row r="2" spans="1:2">
      <c r="A2" s="49" t="s">
        <v>10</v>
      </c>
      <c r="B2" s="50">
        <f>STDEV(Sample!C2:C251)</f>
        <v>11.178629289017834</v>
      </c>
    </row>
    <row r="3" spans="1:2">
      <c r="A3" s="25" t="s">
        <v>11</v>
      </c>
      <c r="B3" s="26">
        <f>AVERAGE(Sample!C2:C251)</f>
        <v>42.240024617145735</v>
      </c>
    </row>
    <row r="4" spans="1:2">
      <c r="A4" s="25" t="s">
        <v>12</v>
      </c>
      <c r="B4" s="27">
        <f>COUNT(Sample!C2:C251)</f>
        <v>53</v>
      </c>
    </row>
    <row r="5" spans="1:2">
      <c r="A5" s="25" t="s">
        <v>13</v>
      </c>
      <c r="B5" s="28">
        <f>Parameters!B2</f>
        <v>0.95</v>
      </c>
    </row>
    <row r="6" spans="1:2">
      <c r="A6" s="25" t="s">
        <v>14</v>
      </c>
      <c r="B6" s="26">
        <f>2*MIN(ZTEST(Sample!C2:C251,Parameters!B3,Parameters!B4),1-ZTEST(Sample!C2:C251,Parameters!B3,Parameters!B4))</f>
        <v>0.17415648171314585</v>
      </c>
    </row>
    <row r="7" spans="1:2">
      <c r="A7" s="25" t="s">
        <v>15</v>
      </c>
      <c r="B7" s="47" t="str">
        <f>"[" &amp; TEXT(B8,"0,00") &amp; " ; " &amp; TEXT(B9,"0,00") &amp; "]"</f>
        <v>[39,23 ; 45,25]</v>
      </c>
    </row>
    <row r="8" spans="1:2">
      <c r="A8" s="25" t="s">
        <v>16</v>
      </c>
      <c r="B8" s="48">
        <f>B3-_xlfn.NORM.S.INV(0.975)*B2/SQRT(B4)</f>
        <v>39.230494385293035</v>
      </c>
    </row>
    <row r="9" spans="1:2">
      <c r="A9" s="25" t="s">
        <v>17</v>
      </c>
      <c r="B9" s="48">
        <f>B3+_xlfn.NORM.S.INV(0.975)*B2/SQRT(B4)</f>
        <v>45.249554848998436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9122-71DE-4B14-BA7D-DDBF1F659EBC}">
  <dimension ref="A1:F54"/>
  <sheetViews>
    <sheetView showGridLines="0" workbookViewId="0">
      <pane ySplit="1" topLeftCell="A2" activePane="bottomLeft" state="frozen"/>
      <selection pane="bottomLeft" activeCell="G5" sqref="G5"/>
    </sheetView>
  </sheetViews>
  <sheetFormatPr defaultRowHeight="15"/>
  <cols>
    <col min="1" max="1" width="17.140625" style="29" bestFit="1" customWidth="1"/>
    <col min="2" max="2" width="21" style="12" bestFit="1" customWidth="1"/>
    <col min="3" max="3" width="20.140625" style="7" bestFit="1" customWidth="1"/>
    <col min="5" max="5" width="29.85546875" bestFit="1" customWidth="1"/>
    <col min="6" max="6" width="29" bestFit="1" customWidth="1"/>
    <col min="7" max="7" width="27.85546875" bestFit="1" customWidth="1"/>
  </cols>
  <sheetData>
    <row r="1" spans="1:6" ht="19.5">
      <c r="A1" s="30" t="s">
        <v>18</v>
      </c>
      <c r="B1" s="31" t="s">
        <v>19</v>
      </c>
      <c r="C1" s="32" t="s">
        <v>20</v>
      </c>
      <c r="E1" s="1" t="s">
        <v>21</v>
      </c>
      <c r="F1" s="1" t="s">
        <v>22</v>
      </c>
    </row>
    <row r="2" spans="1:6">
      <c r="A2" s="33">
        <f>Sample!C8</f>
        <v>22.097907202231319</v>
      </c>
      <c r="B2" s="18">
        <v>2</v>
      </c>
      <c r="C2" s="34">
        <v>17.097907202231319</v>
      </c>
      <c r="E2" s="51">
        <f>CORREL(A2:A54,B2:B54)</f>
        <v>0.15989685123846784</v>
      </c>
      <c r="F2" s="51">
        <f>CORREL(A2:A54,C2:C54)</f>
        <v>0.96062255165130694</v>
      </c>
    </row>
    <row r="3" spans="1:6">
      <c r="A3" s="33">
        <f>Sample!C14</f>
        <v>45.913556542368767</v>
      </c>
      <c r="B3" s="18">
        <v>2</v>
      </c>
      <c r="C3" s="34">
        <v>41.913556542368767</v>
      </c>
    </row>
    <row r="4" spans="1:6">
      <c r="A4" s="33">
        <f>Sample!C15</f>
        <v>39.776334614844551</v>
      </c>
      <c r="B4" s="18">
        <v>4</v>
      </c>
      <c r="C4" s="34">
        <v>39.776334614844551</v>
      </c>
    </row>
    <row r="5" spans="1:6">
      <c r="A5" s="33">
        <f>Sample!C26</f>
        <v>53.437461054099337</v>
      </c>
      <c r="B5" s="18">
        <v>2</v>
      </c>
      <c r="C5" s="34">
        <v>49.437461054099337</v>
      </c>
    </row>
    <row r="6" spans="1:6">
      <c r="A6" s="33">
        <f>Sample!C32</f>
        <v>59.200101457589405</v>
      </c>
      <c r="B6" s="18">
        <v>1</v>
      </c>
      <c r="C6" s="34">
        <v>63.200101457589405</v>
      </c>
    </row>
    <row r="7" spans="1:6">
      <c r="A7" s="33">
        <f>Sample!C44</f>
        <v>31.09147211647273</v>
      </c>
      <c r="B7" s="18">
        <v>4</v>
      </c>
      <c r="C7" s="34">
        <v>36.09147211647273</v>
      </c>
    </row>
    <row r="8" spans="1:6">
      <c r="A8" s="33">
        <f>Sample!C55</f>
        <v>53.437103161621017</v>
      </c>
      <c r="B8" s="18">
        <v>2</v>
      </c>
      <c r="C8" s="34">
        <v>58.437103161621017</v>
      </c>
    </row>
    <row r="9" spans="1:6">
      <c r="A9" s="33">
        <f>Sample!C56</f>
        <v>39.345024748777398</v>
      </c>
      <c r="B9" s="18">
        <v>4</v>
      </c>
      <c r="C9" s="34">
        <v>41.345024748777398</v>
      </c>
    </row>
    <row r="10" spans="1:6">
      <c r="A10" s="33">
        <f>Sample!C59</f>
        <v>33.713157510956783</v>
      </c>
      <c r="B10" s="18">
        <v>2</v>
      </c>
      <c r="C10" s="34">
        <v>38.713157510956783</v>
      </c>
    </row>
    <row r="11" spans="1:6">
      <c r="A11" s="33">
        <f>Sample!C66</f>
        <v>29.475621966392367</v>
      </c>
      <c r="B11" s="18">
        <v>0</v>
      </c>
      <c r="C11" s="34">
        <v>31.475621966392367</v>
      </c>
    </row>
    <row r="12" spans="1:6">
      <c r="A12" s="33">
        <f>Sample!C73</f>
        <v>41.914769475411596</v>
      </c>
      <c r="B12" s="18">
        <v>5</v>
      </c>
      <c r="C12" s="34">
        <v>42.914769475411596</v>
      </c>
    </row>
    <row r="13" spans="1:6">
      <c r="A13" s="33">
        <f>Sample!C81</f>
        <v>42.117100602524786</v>
      </c>
      <c r="B13" s="18">
        <v>4</v>
      </c>
      <c r="C13" s="34">
        <v>47.117100602524786</v>
      </c>
    </row>
    <row r="14" spans="1:6">
      <c r="A14" s="33">
        <f>Sample!C82</f>
        <v>38.265859985897926</v>
      </c>
      <c r="B14" s="18">
        <v>4</v>
      </c>
      <c r="C14" s="34">
        <v>42.265859985897926</v>
      </c>
    </row>
    <row r="15" spans="1:6">
      <c r="A15" s="33">
        <f>Sample!C99</f>
        <v>65.066475376533305</v>
      </c>
      <c r="B15" s="18">
        <v>2</v>
      </c>
      <c r="C15" s="34">
        <v>62.066475376533305</v>
      </c>
    </row>
    <row r="16" spans="1:6">
      <c r="A16" s="33">
        <f>Sample!C103</f>
        <v>55.402625506211088</v>
      </c>
      <c r="B16" s="18">
        <v>4</v>
      </c>
      <c r="C16" s="34">
        <v>59.402625506211088</v>
      </c>
    </row>
    <row r="17" spans="1:3">
      <c r="A17" s="33">
        <f>Sample!C104</f>
        <v>38.317191165662869</v>
      </c>
      <c r="B17" s="18">
        <v>2</v>
      </c>
      <c r="C17" s="34">
        <v>36.317191165662869</v>
      </c>
    </row>
    <row r="18" spans="1:3">
      <c r="A18" s="33">
        <f>Sample!C105</f>
        <v>50.369456437073111</v>
      </c>
      <c r="B18" s="18">
        <v>2</v>
      </c>
      <c r="C18" s="34">
        <v>45.369456437073111</v>
      </c>
    </row>
    <row r="19" spans="1:3">
      <c r="A19" s="33">
        <f>Sample!C109</f>
        <v>42.272425544894745</v>
      </c>
      <c r="B19" s="18">
        <v>4</v>
      </c>
      <c r="C19" s="34">
        <v>42.272425544894745</v>
      </c>
    </row>
    <row r="20" spans="1:3">
      <c r="A20" s="33">
        <f>Sample!C110</f>
        <v>28.638854134174654</v>
      </c>
      <c r="B20" s="18">
        <v>1</v>
      </c>
      <c r="C20" s="34">
        <v>33.63885413417465</v>
      </c>
    </row>
    <row r="21" spans="1:3">
      <c r="A21" s="33">
        <f>Sample!C116</f>
        <v>41.238363822278494</v>
      </c>
      <c r="B21" s="18">
        <v>2</v>
      </c>
      <c r="C21" s="34">
        <v>44.238363822278494</v>
      </c>
    </row>
    <row r="22" spans="1:3">
      <c r="A22" s="33">
        <f>Sample!C121</f>
        <v>49.224365029610887</v>
      </c>
      <c r="B22" s="18">
        <v>5</v>
      </c>
      <c r="C22" s="34">
        <v>45.224365029610887</v>
      </c>
    </row>
    <row r="23" spans="1:3">
      <c r="A23" s="33">
        <f>Sample!C123</f>
        <v>48.665996124496175</v>
      </c>
      <c r="B23" s="18">
        <v>4</v>
      </c>
      <c r="C23" s="34">
        <v>44.665996124496175</v>
      </c>
    </row>
    <row r="24" spans="1:3">
      <c r="A24" s="33">
        <f>Sample!C126</f>
        <v>38.551777744875942</v>
      </c>
      <c r="B24" s="18">
        <v>5</v>
      </c>
      <c r="C24" s="34">
        <v>35.551777744875942</v>
      </c>
    </row>
    <row r="25" spans="1:3">
      <c r="A25" s="33">
        <f>Sample!C127</f>
        <v>57.696480106041513</v>
      </c>
      <c r="B25" s="18">
        <v>0</v>
      </c>
      <c r="C25" s="34">
        <v>62.696480106041513</v>
      </c>
    </row>
    <row r="26" spans="1:3">
      <c r="A26" s="33">
        <f>Sample!C128</f>
        <v>50.652509690743997</v>
      </c>
      <c r="B26" s="18">
        <v>0</v>
      </c>
      <c r="C26" s="34">
        <v>53.652509690743997</v>
      </c>
    </row>
    <row r="27" spans="1:3">
      <c r="A27" s="33">
        <f>Sample!C133</f>
        <v>17.516341486154023</v>
      </c>
      <c r="B27" s="18">
        <v>1</v>
      </c>
      <c r="C27" s="34">
        <v>13.516341486154023</v>
      </c>
    </row>
    <row r="28" spans="1:3">
      <c r="A28" s="33">
        <f>Sample!C138</f>
        <v>34.549766899381908</v>
      </c>
      <c r="B28" s="18">
        <v>3</v>
      </c>
      <c r="C28" s="34">
        <v>32.549766899381908</v>
      </c>
    </row>
    <row r="29" spans="1:3">
      <c r="A29" s="33">
        <f>Sample!C139</f>
        <v>45.701794310734954</v>
      </c>
      <c r="B29" s="18">
        <v>5</v>
      </c>
      <c r="C29" s="34">
        <v>45.701794310734954</v>
      </c>
    </row>
    <row r="30" spans="1:3">
      <c r="A30" s="33">
        <f>Sample!C145</f>
        <v>48.646368715722048</v>
      </c>
      <c r="B30" s="18">
        <v>2</v>
      </c>
      <c r="C30" s="34">
        <v>51.646368715722048</v>
      </c>
    </row>
    <row r="31" spans="1:3">
      <c r="A31" s="33">
        <f>Sample!C148</f>
        <v>53.561894971091021</v>
      </c>
      <c r="B31" s="18">
        <v>4</v>
      </c>
      <c r="C31" s="34">
        <v>56.561894971091021</v>
      </c>
    </row>
    <row r="32" spans="1:3">
      <c r="A32" s="33">
        <f>Sample!C152</f>
        <v>43.222204335250218</v>
      </c>
      <c r="B32" s="18">
        <v>5</v>
      </c>
      <c r="C32" s="34">
        <v>40.222204335250218</v>
      </c>
    </row>
    <row r="33" spans="1:3">
      <c r="A33" s="33">
        <f>Sample!C153</f>
        <v>16.692394973823074</v>
      </c>
      <c r="B33" s="18">
        <v>1</v>
      </c>
      <c r="C33" s="34">
        <v>12.692394973823074</v>
      </c>
    </row>
    <row r="34" spans="1:3">
      <c r="A34" s="33">
        <f>Sample!C160</f>
        <v>44.955161971473728</v>
      </c>
      <c r="B34" s="18">
        <v>2</v>
      </c>
      <c r="C34" s="34">
        <v>49.955161971473728</v>
      </c>
    </row>
    <row r="35" spans="1:3">
      <c r="A35" s="33">
        <f>Sample!C164</f>
        <v>58.948429639584688</v>
      </c>
      <c r="B35" s="18">
        <v>5</v>
      </c>
      <c r="C35" s="34">
        <v>55.948429639584688</v>
      </c>
    </row>
    <row r="36" spans="1:3">
      <c r="A36" s="33">
        <f>Sample!C165</f>
        <v>51.655530608077399</v>
      </c>
      <c r="B36" s="18">
        <v>1</v>
      </c>
      <c r="C36" s="34">
        <v>52.655530608077399</v>
      </c>
    </row>
    <row r="37" spans="1:3">
      <c r="A37" s="33">
        <f>Sample!C169</f>
        <v>59.192763261780883</v>
      </c>
      <c r="B37" s="18">
        <v>5</v>
      </c>
      <c r="C37" s="34">
        <v>61.192763261780883</v>
      </c>
    </row>
    <row r="38" spans="1:3">
      <c r="A38" s="33">
        <f>Sample!C172</f>
        <v>37.164785642468161</v>
      </c>
      <c r="B38" s="18">
        <v>1</v>
      </c>
      <c r="C38" s="34">
        <v>34.164785642468161</v>
      </c>
    </row>
    <row r="39" spans="1:3">
      <c r="A39" s="33">
        <f>Sample!C175</f>
        <v>33.782285653158631</v>
      </c>
      <c r="B39" s="18">
        <v>4</v>
      </c>
      <c r="C39" s="34">
        <v>29.782285653158631</v>
      </c>
    </row>
    <row r="40" spans="1:3">
      <c r="A40" s="33">
        <f>Sample!C187</f>
        <v>48.964054162810918</v>
      </c>
      <c r="B40" s="18">
        <v>3</v>
      </c>
      <c r="C40" s="34">
        <v>51.964054162810918</v>
      </c>
    </row>
    <row r="41" spans="1:3">
      <c r="A41" s="33">
        <f>Sample!C193</f>
        <v>43.728183947766212</v>
      </c>
      <c r="B41" s="18">
        <v>1</v>
      </c>
      <c r="C41" s="34">
        <v>39.728183947766212</v>
      </c>
    </row>
    <row r="42" spans="1:3">
      <c r="A42" s="33">
        <f>Sample!C198</f>
        <v>35.944788068574013</v>
      </c>
      <c r="B42" s="18">
        <v>0</v>
      </c>
      <c r="C42" s="34">
        <v>32.944788068574013</v>
      </c>
    </row>
    <row r="43" spans="1:3">
      <c r="A43" s="33">
        <f>Sample!C200</f>
        <v>38.785667809208498</v>
      </c>
      <c r="B43" s="18">
        <v>1</v>
      </c>
      <c r="C43" s="34">
        <v>37.785667809208498</v>
      </c>
    </row>
    <row r="44" spans="1:3">
      <c r="A44" s="33">
        <f>Sample!C202</f>
        <v>27.554324302237319</v>
      </c>
      <c r="B44" s="18">
        <v>5</v>
      </c>
      <c r="C44" s="34">
        <v>24.554324302237319</v>
      </c>
    </row>
    <row r="45" spans="1:3">
      <c r="A45" s="33">
        <f>Sample!C203</f>
        <v>37.953294230362353</v>
      </c>
      <c r="B45" s="18">
        <v>5</v>
      </c>
      <c r="C45" s="34">
        <v>40.953294230362353</v>
      </c>
    </row>
    <row r="46" spans="1:3">
      <c r="A46" s="33">
        <f>Sample!C206</f>
        <v>57.532113368262578</v>
      </c>
      <c r="B46" s="18">
        <v>5</v>
      </c>
      <c r="C46" s="34">
        <v>60.532113368262578</v>
      </c>
    </row>
    <row r="47" spans="1:3">
      <c r="A47" s="33">
        <f>Sample!C207</f>
        <v>48.52183963653949</v>
      </c>
      <c r="B47" s="18">
        <v>1</v>
      </c>
      <c r="C47" s="34">
        <v>49.52183963653949</v>
      </c>
    </row>
    <row r="48" spans="1:3">
      <c r="A48" s="33">
        <f>Sample!C210</f>
        <v>33.924991176762767</v>
      </c>
      <c r="B48" s="18">
        <v>1</v>
      </c>
      <c r="C48" s="34">
        <v>30.924991176762767</v>
      </c>
    </row>
    <row r="49" spans="1:3">
      <c r="A49" s="33">
        <f>Sample!C216</f>
        <v>46.490093615375081</v>
      </c>
      <c r="B49" s="18">
        <v>3</v>
      </c>
      <c r="C49" s="34">
        <v>50.490093615375081</v>
      </c>
    </row>
    <row r="50" spans="1:3">
      <c r="A50" s="33">
        <f>Sample!C217</f>
        <v>41.809766218550344</v>
      </c>
      <c r="B50" s="18">
        <v>3</v>
      </c>
      <c r="C50" s="34">
        <v>41.809766218550344</v>
      </c>
    </row>
    <row r="51" spans="1:3">
      <c r="A51" s="33">
        <f>Sample!C221</f>
        <v>23.761777224859298</v>
      </c>
      <c r="B51" s="18">
        <v>2</v>
      </c>
      <c r="C51" s="34">
        <v>28.761777224859298</v>
      </c>
    </row>
    <row r="52" spans="1:3">
      <c r="A52" s="33">
        <f>Sample!C227</f>
        <v>24.65506821687169</v>
      </c>
      <c r="B52" s="18">
        <v>2</v>
      </c>
      <c r="C52" s="34">
        <v>27.65506821687169</v>
      </c>
    </row>
    <row r="53" spans="1:3">
      <c r="A53" s="33">
        <f>Sample!C233</f>
        <v>52.770223937937388</v>
      </c>
      <c r="B53" s="18">
        <v>1</v>
      </c>
      <c r="C53" s="34">
        <v>51.770223937937388</v>
      </c>
    </row>
    <row r="54" spans="1:3">
      <c r="A54" s="33">
        <f>Sample!C248</f>
        <v>34.853405202120335</v>
      </c>
      <c r="B54" s="18">
        <v>1</v>
      </c>
      <c r="C54" s="34">
        <v>34.853405202120335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B17F-B893-4A48-BCA5-E5C32272A4C8}">
  <dimension ref="A1:J251"/>
  <sheetViews>
    <sheetView showGridLines="0" topLeftCell="F15" workbookViewId="0">
      <selection activeCell="L2" sqref="L2"/>
    </sheetView>
  </sheetViews>
  <sheetFormatPr defaultRowHeight="15"/>
  <cols>
    <col min="1" max="1" width="11.28515625" style="7" bestFit="1" customWidth="1"/>
    <col min="2" max="2" width="12.5703125" style="12" bestFit="1" customWidth="1"/>
    <col min="3" max="3" width="9.28515625" style="9" bestFit="1" customWidth="1"/>
    <col min="4" max="4" width="14.140625" style="7" bestFit="1" customWidth="1"/>
    <col min="5" max="5" width="19.7109375" bestFit="1" customWidth="1"/>
    <col min="6" max="6" width="28.5703125" style="7" bestFit="1" customWidth="1"/>
    <col min="7" max="7" width="15" style="8" bestFit="1" customWidth="1"/>
    <col min="8" max="8" width="11.140625" bestFit="1" customWidth="1"/>
    <col min="9" max="9" width="11.85546875" bestFit="1" customWidth="1"/>
    <col min="10" max="10" width="29.5703125" bestFit="1" customWidth="1"/>
  </cols>
  <sheetData>
    <row r="1" spans="1:10" ht="19.5">
      <c r="A1" s="13" t="s">
        <v>23</v>
      </c>
      <c r="B1" s="14" t="s">
        <v>24</v>
      </c>
      <c r="C1" s="35" t="s">
        <v>25</v>
      </c>
      <c r="D1" s="13" t="s">
        <v>26</v>
      </c>
      <c r="E1" s="36" t="s">
        <v>27</v>
      </c>
      <c r="F1" s="13" t="s">
        <v>28</v>
      </c>
      <c r="G1" s="37" t="s">
        <v>29</v>
      </c>
      <c r="I1" s="1" t="s">
        <v>30</v>
      </c>
      <c r="J1" s="2" t="str">
        <f>"Linear Regression (R² ≈ " &amp; TEXT(I2,"0,000000") &amp; ")"</f>
        <v>Linear Regression (R² ≈ 0,000007)</v>
      </c>
    </row>
    <row r="2" spans="1:10">
      <c r="A2" s="15">
        <f>Data!A2</f>
        <v>30.667001851053044</v>
      </c>
      <c r="B2" s="16">
        <v>1</v>
      </c>
      <c r="C2" s="38">
        <f t="shared" ref="C2:C65" si="0">SLOPE(A2:A251,B2:B251)</f>
        <v>-3.8943849427813929E-4</v>
      </c>
      <c r="D2" s="15">
        <f t="shared" ref="D2:D65" si="1">INTERCEPT(A2:A251,B2:B251)</f>
        <v>39.312700343894704</v>
      </c>
      <c r="E2" s="46" t="str">
        <f t="shared" ref="E2:E65" si="2">"Y = " &amp; TEXT($C$2,"0,000") &amp; " * X + " &amp; TEXT($D$2,"0,000")</f>
        <v>Y = 0,000 * X + 39,313</v>
      </c>
      <c r="F2" s="15">
        <f t="shared" ref="F2:F65" si="3">$C$2*160 + $D$2</f>
        <v>39.2503901848102</v>
      </c>
      <c r="G2" s="39">
        <f>$C$2*B2 + $D$2</f>
        <v>39.312310905400423</v>
      </c>
      <c r="H2" s="10"/>
      <c r="I2" s="11">
        <f>CORREL(A2:A251,B2:B251)^2</f>
        <v>7.287941594891182E-6</v>
      </c>
    </row>
    <row r="3" spans="1:10">
      <c r="A3" s="17">
        <f>Data!A3</f>
        <v>36.335167882277396</v>
      </c>
      <c r="B3" s="18">
        <v>2</v>
      </c>
      <c r="C3" s="40">
        <f t="shared" si="0"/>
        <v>-1.2294413172811883E-3</v>
      </c>
      <c r="D3" s="17">
        <f t="shared" si="1"/>
        <v>39.453260816277215</v>
      </c>
      <c r="E3" s="41" t="str">
        <f t="shared" si="2"/>
        <v>Y = 0,000 * X + 39,313</v>
      </c>
      <c r="F3" s="17">
        <f t="shared" si="3"/>
        <v>39.2503901848102</v>
      </c>
      <c r="G3" s="42">
        <f t="shared" ref="G3:G66" si="4">$C$2*B3 + $D$2</f>
        <v>39.311921466906149</v>
      </c>
    </row>
    <row r="4" spans="1:10">
      <c r="A4" s="17">
        <f>Data!A4</f>
        <v>33.424058748812577</v>
      </c>
      <c r="B4" s="18">
        <v>3</v>
      </c>
      <c r="C4" s="40">
        <f t="shared" si="0"/>
        <v>-1.5346163908771036E-3</v>
      </c>
      <c r="D4" s="17">
        <f t="shared" si="1"/>
        <v>39.504428503616808</v>
      </c>
      <c r="E4" s="41" t="str">
        <f t="shared" si="2"/>
        <v>Y = 0,000 * X + 39,313</v>
      </c>
      <c r="F4" s="17">
        <f t="shared" si="3"/>
        <v>39.2503901848102</v>
      </c>
      <c r="G4" s="42">
        <f t="shared" si="4"/>
        <v>39.311532028411868</v>
      </c>
    </row>
    <row r="5" spans="1:10">
      <c r="A5" s="17">
        <f>Data!A5</f>
        <v>52.576527877855312</v>
      </c>
      <c r="B5" s="18">
        <v>4</v>
      </c>
      <c r="C5" s="40">
        <f t="shared" si="0"/>
        <v>-2.1345735258264126E-3</v>
      </c>
      <c r="D5" s="17">
        <f t="shared" si="1"/>
        <v>39.605221302288285</v>
      </c>
      <c r="E5" s="41" t="str">
        <f t="shared" si="2"/>
        <v>Y = 0,000 * X + 39,313</v>
      </c>
      <c r="F5" s="17">
        <f t="shared" si="3"/>
        <v>39.2503901848102</v>
      </c>
      <c r="G5" s="42">
        <f t="shared" si="4"/>
        <v>39.311142589917594</v>
      </c>
    </row>
    <row r="6" spans="1:10">
      <c r="A6" s="17">
        <f>Data!A6</f>
        <v>48.4663056313968</v>
      </c>
      <c r="B6" s="18">
        <v>5</v>
      </c>
      <c r="C6" s="40">
        <f t="shared" si="0"/>
        <v>-8.4240380261383209E-4</v>
      </c>
      <c r="D6" s="17">
        <f t="shared" si="1"/>
        <v>39.387706065547505</v>
      </c>
      <c r="E6" s="41" t="str">
        <f t="shared" si="2"/>
        <v>Y = 0,000 * X + 39,313</v>
      </c>
      <c r="F6" s="17">
        <f t="shared" si="3"/>
        <v>39.2503901848102</v>
      </c>
      <c r="G6" s="42">
        <f t="shared" si="4"/>
        <v>39.310753151423313</v>
      </c>
    </row>
    <row r="7" spans="1:10">
      <c r="A7" s="17">
        <f>Data!A7</f>
        <v>36.752010579693462</v>
      </c>
      <c r="B7" s="18">
        <v>6</v>
      </c>
      <c r="C7" s="40">
        <f t="shared" si="0"/>
        <v>6.9219976395443707E-5</v>
      </c>
      <c r="D7" s="17">
        <f t="shared" si="1"/>
        <v>39.233945521487932</v>
      </c>
      <c r="E7" s="41" t="str">
        <f t="shared" si="2"/>
        <v>Y = 0,000 * X + 39,313</v>
      </c>
      <c r="F7" s="17">
        <f t="shared" si="3"/>
        <v>39.2503901848102</v>
      </c>
      <c r="G7" s="42">
        <f t="shared" si="4"/>
        <v>39.310363712929032</v>
      </c>
    </row>
    <row r="8" spans="1:10">
      <c r="A8" s="17">
        <f>Data!A8</f>
        <v>22.097907202231319</v>
      </c>
      <c r="B8" s="18">
        <v>7</v>
      </c>
      <c r="C8" s="40">
        <f t="shared" si="0"/>
        <v>-1.8197920005192181E-4</v>
      </c>
      <c r="D8" s="17">
        <f t="shared" si="1"/>
        <v>39.276398182307538</v>
      </c>
      <c r="E8" s="41" t="str">
        <f t="shared" si="2"/>
        <v>Y = 0,000 * X + 39,313</v>
      </c>
      <c r="F8" s="17">
        <f t="shared" si="3"/>
        <v>39.2503901848102</v>
      </c>
      <c r="G8" s="42">
        <f t="shared" si="4"/>
        <v>39.309974274434758</v>
      </c>
    </row>
    <row r="9" spans="1:10">
      <c r="A9" s="17">
        <f>Data!A9</f>
        <v>61.275853899268327</v>
      </c>
      <c r="B9" s="18">
        <v>8</v>
      </c>
      <c r="C9" s="40">
        <f t="shared" si="0"/>
        <v>-1.9345776212003609E-3</v>
      </c>
      <c r="D9" s="17">
        <f t="shared" si="1"/>
        <v>39.573171514955334</v>
      </c>
      <c r="E9" s="41" t="str">
        <f t="shared" si="2"/>
        <v>Y = 0,000 * X + 39,313</v>
      </c>
      <c r="F9" s="17">
        <f t="shared" si="3"/>
        <v>39.2503901848102</v>
      </c>
      <c r="G9" s="42">
        <f t="shared" si="4"/>
        <v>39.309584835940477</v>
      </c>
    </row>
    <row r="10" spans="1:10">
      <c r="A10" s="17">
        <f>Data!A10</f>
        <v>50.570993443890671</v>
      </c>
      <c r="B10" s="18">
        <v>9</v>
      </c>
      <c r="C10" s="40">
        <f t="shared" si="0"/>
        <v>2.9972425513610817E-4</v>
      </c>
      <c r="D10" s="17">
        <f t="shared" si="1"/>
        <v>39.194084963270242</v>
      </c>
      <c r="E10" s="41" t="str">
        <f t="shared" si="2"/>
        <v>Y = 0,000 * X + 39,313</v>
      </c>
      <c r="F10" s="17">
        <f t="shared" si="3"/>
        <v>39.2503901848102</v>
      </c>
      <c r="G10" s="42">
        <f t="shared" si="4"/>
        <v>39.309195397446203</v>
      </c>
    </row>
    <row r="11" spans="1:10">
      <c r="A11" s="17">
        <f>Data!A11</f>
        <v>35.273006871487667</v>
      </c>
      <c r="B11" s="18">
        <v>10</v>
      </c>
      <c r="C11" s="40">
        <f t="shared" si="0"/>
        <v>1.4796216578668313E-3</v>
      </c>
      <c r="D11" s="17">
        <f t="shared" si="1"/>
        <v>38.99350240480603</v>
      </c>
      <c r="E11" s="41" t="str">
        <f t="shared" si="2"/>
        <v>Y = 0,000 * X + 39,313</v>
      </c>
      <c r="F11" s="17">
        <f t="shared" si="3"/>
        <v>39.2503901848102</v>
      </c>
      <c r="G11" s="42">
        <f t="shared" si="4"/>
        <v>39.308805958951922</v>
      </c>
    </row>
    <row r="12" spans="1:10">
      <c r="A12" s="17">
        <f>Data!A12</f>
        <v>46.206611839455739</v>
      </c>
      <c r="B12" s="18">
        <v>11</v>
      </c>
      <c r="C12" s="40">
        <f t="shared" si="0"/>
        <v>1.0889007635261465E-3</v>
      </c>
      <c r="D12" s="17">
        <f t="shared" si="1"/>
        <v>39.060055197142063</v>
      </c>
      <c r="E12" s="41" t="str">
        <f t="shared" si="2"/>
        <v>Y = 0,000 * X + 39,313</v>
      </c>
      <c r="F12" s="17">
        <f t="shared" si="3"/>
        <v>39.2503901848102</v>
      </c>
      <c r="G12" s="42">
        <f t="shared" si="4"/>
        <v>39.308416520457648</v>
      </c>
    </row>
    <row r="13" spans="1:10">
      <c r="A13" s="17">
        <f>Data!A13</f>
        <v>33.598832765397603</v>
      </c>
      <c r="B13" s="18">
        <v>12</v>
      </c>
      <c r="C13" s="40">
        <f t="shared" si="0"/>
        <v>1.8414669954358775E-3</v>
      </c>
      <c r="D13" s="17">
        <f t="shared" si="1"/>
        <v>38.93161722689613</v>
      </c>
      <c r="E13" s="41" t="str">
        <f t="shared" si="2"/>
        <v>Y = 0,000 * X + 39,313</v>
      </c>
      <c r="F13" s="17">
        <f t="shared" si="3"/>
        <v>39.2503901848102</v>
      </c>
      <c r="G13" s="42">
        <f t="shared" si="4"/>
        <v>39.308027081963367</v>
      </c>
    </row>
    <row r="14" spans="1:10">
      <c r="A14" s="17">
        <f>Data!A14</f>
        <v>45.913556542368767</v>
      </c>
      <c r="B14" s="18">
        <v>13</v>
      </c>
      <c r="C14" s="40">
        <f t="shared" si="0"/>
        <v>1.2718592871661409E-3</v>
      </c>
      <c r="D14" s="17">
        <f t="shared" si="1"/>
        <v>39.029020145010257</v>
      </c>
      <c r="E14" s="41" t="str">
        <f t="shared" si="2"/>
        <v>Y = 0,000 * X + 39,313</v>
      </c>
      <c r="F14" s="17">
        <f t="shared" si="3"/>
        <v>39.2503901848102</v>
      </c>
      <c r="G14" s="42">
        <f t="shared" si="4"/>
        <v>39.307637643469086</v>
      </c>
    </row>
    <row r="15" spans="1:10">
      <c r="A15" s="17">
        <f>Data!A15</f>
        <v>39.776334614844551</v>
      </c>
      <c r="B15" s="18">
        <v>14</v>
      </c>
      <c r="C15" s="40">
        <f t="shared" si="0"/>
        <v>2.0086112960296196E-3</v>
      </c>
      <c r="D15" s="17">
        <f t="shared" si="1"/>
        <v>38.90278996749165</v>
      </c>
      <c r="E15" s="41" t="str">
        <f t="shared" si="2"/>
        <v>Y = 0,000 * X + 39,313</v>
      </c>
      <c r="F15" s="17">
        <f t="shared" si="3"/>
        <v>39.2503901848102</v>
      </c>
      <c r="G15" s="42">
        <f t="shared" si="4"/>
        <v>39.307248204974812</v>
      </c>
    </row>
    <row r="16" spans="1:10">
      <c r="A16" s="17">
        <f>Data!A16</f>
        <v>50.795225224051606</v>
      </c>
      <c r="B16" s="18">
        <v>15</v>
      </c>
      <c r="C16" s="40">
        <f t="shared" si="0"/>
        <v>2.1000744142274379E-3</v>
      </c>
      <c r="D16" s="17">
        <f t="shared" si="1"/>
        <v>38.887088798867694</v>
      </c>
      <c r="E16" s="41" t="str">
        <f t="shared" si="2"/>
        <v>Y = 0,000 * X + 39,313</v>
      </c>
      <c r="F16" s="17">
        <f t="shared" si="3"/>
        <v>39.2503901848102</v>
      </c>
      <c r="G16" s="42">
        <f t="shared" si="4"/>
        <v>39.306858766480531</v>
      </c>
    </row>
    <row r="17" spans="1:7">
      <c r="A17" s="17">
        <f>Data!A17</f>
        <v>55.88574312071394</v>
      </c>
      <c r="B17" s="18">
        <v>16</v>
      </c>
      <c r="C17" s="40">
        <f t="shared" si="0"/>
        <v>3.3959429694888099E-3</v>
      </c>
      <c r="D17" s="17">
        <f t="shared" si="1"/>
        <v>38.664199407362737</v>
      </c>
      <c r="E17" s="41" t="str">
        <f t="shared" si="2"/>
        <v>Y = 0,000 * X + 39,313</v>
      </c>
      <c r="F17" s="17">
        <f t="shared" si="3"/>
        <v>39.2503901848102</v>
      </c>
      <c r="G17" s="42">
        <f t="shared" si="4"/>
        <v>39.306469327986257</v>
      </c>
    </row>
    <row r="18" spans="1:7">
      <c r="A18" s="17">
        <f>Data!A18</f>
        <v>39.241828787817028</v>
      </c>
      <c r="B18" s="18">
        <v>17</v>
      </c>
      <c r="C18" s="40">
        <f t="shared" si="0"/>
        <v>5.2851482766132106E-3</v>
      </c>
      <c r="D18" s="17">
        <f t="shared" si="1"/>
        <v>38.338626359434969</v>
      </c>
      <c r="E18" s="41" t="str">
        <f t="shared" si="2"/>
        <v>Y = 0,000 * X + 39,313</v>
      </c>
      <c r="F18" s="17">
        <f t="shared" si="3"/>
        <v>39.2503901848102</v>
      </c>
      <c r="G18" s="42">
        <f t="shared" si="4"/>
        <v>39.306079889491976</v>
      </c>
    </row>
    <row r="19" spans="1:7">
      <c r="A19" s="17">
        <f>Data!A19</f>
        <v>39.759026569182801</v>
      </c>
      <c r="B19" s="18">
        <v>18</v>
      </c>
      <c r="C19" s="40">
        <f t="shared" si="0"/>
        <v>5.3754274213164369E-3</v>
      </c>
      <c r="D19" s="17">
        <f t="shared" si="1"/>
        <v>38.323038160449549</v>
      </c>
      <c r="E19" s="41" t="str">
        <f t="shared" si="2"/>
        <v>Y = 0,000 * X + 39,313</v>
      </c>
      <c r="F19" s="17">
        <f t="shared" si="3"/>
        <v>39.2503901848102</v>
      </c>
      <c r="G19" s="42">
        <f t="shared" si="4"/>
        <v>39.305690450997695</v>
      </c>
    </row>
    <row r="20" spans="1:7">
      <c r="A20" s="17">
        <f>Data!A20</f>
        <v>31.975039122946296</v>
      </c>
      <c r="B20" s="18">
        <v>19</v>
      </c>
      <c r="C20" s="40">
        <f t="shared" si="0"/>
        <v>5.5253636858875995E-3</v>
      </c>
      <c r="D20" s="17">
        <f t="shared" si="1"/>
        <v>38.297099186678743</v>
      </c>
      <c r="E20" s="41" t="str">
        <f t="shared" si="2"/>
        <v>Y = 0,000 * X + 39,313</v>
      </c>
      <c r="F20" s="17">
        <f t="shared" si="3"/>
        <v>39.2503901848102</v>
      </c>
      <c r="G20" s="42">
        <f t="shared" si="4"/>
        <v>39.305301012503421</v>
      </c>
    </row>
    <row r="21" spans="1:7">
      <c r="A21" s="17">
        <f>Data!A21</f>
        <v>61.958144381574463</v>
      </c>
      <c r="B21" s="18">
        <v>20</v>
      </c>
      <c r="C21" s="40">
        <f t="shared" si="0"/>
        <v>4.7995543156149406E-3</v>
      </c>
      <c r="D21" s="17">
        <f t="shared" si="1"/>
        <v>38.422906144192673</v>
      </c>
      <c r="E21" s="41" t="str">
        <f t="shared" si="2"/>
        <v>Y = 0,000 * X + 39,313</v>
      </c>
      <c r="F21" s="17">
        <f t="shared" si="3"/>
        <v>39.2503901848102</v>
      </c>
      <c r="G21" s="42">
        <f t="shared" si="4"/>
        <v>39.304911574009139</v>
      </c>
    </row>
    <row r="22" spans="1:7">
      <c r="A22" s="17">
        <f>Data!A22</f>
        <v>33.032514156848691</v>
      </c>
      <c r="B22" s="18">
        <v>21</v>
      </c>
      <c r="C22" s="40">
        <f t="shared" si="0"/>
        <v>7.4696792995985594E-3</v>
      </c>
      <c r="D22" s="17">
        <f t="shared" si="1"/>
        <v>37.959194438640857</v>
      </c>
      <c r="E22" s="41" t="str">
        <f t="shared" si="2"/>
        <v>Y = 0,000 * X + 39,313</v>
      </c>
      <c r="F22" s="17">
        <f t="shared" si="3"/>
        <v>39.2503901848102</v>
      </c>
      <c r="G22" s="42">
        <f t="shared" si="4"/>
        <v>39.304522135514866</v>
      </c>
    </row>
    <row r="23" spans="1:7">
      <c r="A23" s="17">
        <f>Data!A23</f>
        <v>45.55343971698818</v>
      </c>
      <c r="B23" s="18">
        <v>22</v>
      </c>
      <c r="C23" s="40">
        <f t="shared" si="0"/>
        <v>6.8854982438546312E-3</v>
      </c>
      <c r="D23" s="17">
        <f t="shared" si="1"/>
        <v>38.060841942340296</v>
      </c>
      <c r="E23" s="41" t="str">
        <f t="shared" si="2"/>
        <v>Y = 0,000 * X + 39,313</v>
      </c>
      <c r="F23" s="17">
        <f t="shared" si="3"/>
        <v>39.2503901848102</v>
      </c>
      <c r="G23" s="42">
        <f t="shared" si="4"/>
        <v>39.304132697020584</v>
      </c>
    </row>
    <row r="24" spans="1:7">
      <c r="A24" s="17">
        <f>Data!A24</f>
        <v>24.520969916755327</v>
      </c>
      <c r="B24" s="18">
        <v>23</v>
      </c>
      <c r="C24" s="40">
        <f t="shared" si="0"/>
        <v>7.7365435502867097E-3</v>
      </c>
      <c r="D24" s="17">
        <f t="shared" si="1"/>
        <v>37.912476377252304</v>
      </c>
      <c r="E24" s="41" t="str">
        <f t="shared" si="2"/>
        <v>Y = 0,000 * X + 39,313</v>
      </c>
      <c r="F24" s="17">
        <f t="shared" si="3"/>
        <v>39.2503901848102</v>
      </c>
      <c r="G24" s="42">
        <f t="shared" si="4"/>
        <v>39.30374325852631</v>
      </c>
    </row>
    <row r="25" spans="1:7">
      <c r="A25" s="17">
        <f>Data!A25</f>
        <v>26.059147312646814</v>
      </c>
      <c r="B25" s="18">
        <v>24</v>
      </c>
      <c r="C25" s="40">
        <f t="shared" si="0"/>
        <v>6.1495356018067019E-3</v>
      </c>
      <c r="D25" s="17">
        <f t="shared" si="1"/>
        <v>38.189673765586804</v>
      </c>
      <c r="E25" s="41" t="str">
        <f t="shared" si="2"/>
        <v>Y = 0,000 * X + 39,313</v>
      </c>
      <c r="F25" s="17">
        <f t="shared" si="3"/>
        <v>39.2503901848102</v>
      </c>
      <c r="G25" s="42">
        <f t="shared" si="4"/>
        <v>39.303353820032029</v>
      </c>
    </row>
    <row r="26" spans="1:7">
      <c r="A26" s="17">
        <f>Data!A26</f>
        <v>53.437461054099337</v>
      </c>
      <c r="B26" s="18">
        <v>25</v>
      </c>
      <c r="C26" s="40">
        <f t="shared" si="0"/>
        <v>4.700790432793916E-3</v>
      </c>
      <c r="D26" s="17">
        <f t="shared" si="1"/>
        <v>38.443204170164044</v>
      </c>
      <c r="E26" s="41" t="str">
        <f t="shared" si="2"/>
        <v>Y = 0,000 * X + 39,313</v>
      </c>
      <c r="F26" s="17">
        <f t="shared" si="3"/>
        <v>39.2503901848102</v>
      </c>
      <c r="G26" s="42">
        <f t="shared" si="4"/>
        <v>39.302964381537748</v>
      </c>
    </row>
    <row r="27" spans="1:7">
      <c r="A27" s="17">
        <f>Data!A27</f>
        <v>13.702593737603131</v>
      </c>
      <c r="B27" s="18">
        <v>26</v>
      </c>
      <c r="C27" s="40">
        <f t="shared" si="0"/>
        <v>6.4718305664981379E-3</v>
      </c>
      <c r="D27" s="17">
        <f t="shared" si="1"/>
        <v>38.13268180005457</v>
      </c>
      <c r="E27" s="41" t="str">
        <f t="shared" si="2"/>
        <v>Y = 0,000 * X + 39,313</v>
      </c>
      <c r="F27" s="17">
        <f t="shared" si="3"/>
        <v>39.2503901848102</v>
      </c>
      <c r="G27" s="42">
        <f t="shared" si="4"/>
        <v>39.302574943043474</v>
      </c>
    </row>
    <row r="28" spans="1:7">
      <c r="A28" s="17">
        <f>Data!A28</f>
        <v>24.187549200110851</v>
      </c>
      <c r="B28" s="18">
        <v>27</v>
      </c>
      <c r="C28" s="40">
        <f t="shared" si="0"/>
        <v>3.5171914340693697E-3</v>
      </c>
      <c r="D28" s="17">
        <f t="shared" si="1"/>
        <v>38.651713407651229</v>
      </c>
      <c r="E28" s="41" t="str">
        <f t="shared" si="2"/>
        <v>Y = 0,000 * X + 39,313</v>
      </c>
      <c r="F28" s="17">
        <f t="shared" si="3"/>
        <v>39.2503901848102</v>
      </c>
      <c r="G28" s="42">
        <f t="shared" si="4"/>
        <v>39.302185504549193</v>
      </c>
    </row>
    <row r="29" spans="1:7">
      <c r="A29" s="17">
        <f>Data!A29</f>
        <v>36.235221249877348</v>
      </c>
      <c r="B29" s="18">
        <v>28</v>
      </c>
      <c r="C29" s="40">
        <f t="shared" si="0"/>
        <v>1.752662482880392E-3</v>
      </c>
      <c r="D29" s="17">
        <f t="shared" si="1"/>
        <v>38.962270503060488</v>
      </c>
      <c r="E29" s="41" t="str">
        <f t="shared" si="2"/>
        <v>Y = 0,000 * X + 39,313</v>
      </c>
      <c r="F29" s="17">
        <f t="shared" si="3"/>
        <v>39.2503901848102</v>
      </c>
      <c r="G29" s="42">
        <f t="shared" si="4"/>
        <v>39.301796066054919</v>
      </c>
    </row>
    <row r="30" spans="1:7">
      <c r="A30" s="17">
        <f>Data!A30</f>
        <v>41.47316848654367</v>
      </c>
      <c r="B30" s="18">
        <v>29</v>
      </c>
      <c r="C30" s="40">
        <f t="shared" si="0"/>
        <v>1.4131585324457902E-3</v>
      </c>
      <c r="D30" s="17">
        <f t="shared" si="1"/>
        <v>39.02213636632046</v>
      </c>
      <c r="E30" s="41" t="str">
        <f t="shared" si="2"/>
        <v>Y = 0,000 * X + 39,313</v>
      </c>
      <c r="F30" s="17">
        <f t="shared" si="3"/>
        <v>39.2503901848102</v>
      </c>
      <c r="G30" s="42">
        <f t="shared" si="4"/>
        <v>39.301406627560638</v>
      </c>
    </row>
    <row r="31" spans="1:7">
      <c r="A31" s="17">
        <f>Data!A31</f>
        <v>41.198725531294201</v>
      </c>
      <c r="B31" s="18">
        <v>30</v>
      </c>
      <c r="C31" s="40">
        <f t="shared" si="0"/>
        <v>1.7105732411396128E-3</v>
      </c>
      <c r="D31" s="17">
        <f t="shared" si="1"/>
        <v>38.96959310111788</v>
      </c>
      <c r="E31" s="41" t="str">
        <f t="shared" si="2"/>
        <v>Y = 0,000 * X + 39,313</v>
      </c>
      <c r="F31" s="17">
        <f t="shared" si="3"/>
        <v>39.2503901848102</v>
      </c>
      <c r="G31" s="42">
        <f t="shared" si="4"/>
        <v>39.301017189066357</v>
      </c>
    </row>
    <row r="32" spans="1:7">
      <c r="A32" s="17">
        <f>Data!A32</f>
        <v>59.200101457589405</v>
      </c>
      <c r="B32" s="18">
        <v>31</v>
      </c>
      <c r="C32" s="40">
        <f t="shared" si="0"/>
        <v>1.9817831082556991E-3</v>
      </c>
      <c r="D32" s="17">
        <f t="shared" si="1"/>
        <v>38.921588954638324</v>
      </c>
      <c r="E32" s="41" t="str">
        <f t="shared" si="2"/>
        <v>Y = 0,000 * X + 39,313</v>
      </c>
      <c r="F32" s="17">
        <f t="shared" si="3"/>
        <v>39.2503901848102</v>
      </c>
      <c r="G32" s="42">
        <f t="shared" si="4"/>
        <v>39.300627750572083</v>
      </c>
    </row>
    <row r="33" spans="1:7">
      <c r="A33" s="17">
        <f>Data!A33</f>
        <v>54.054615028688445</v>
      </c>
      <c r="B33" s="18">
        <v>32</v>
      </c>
      <c r="C33" s="40">
        <f t="shared" si="0"/>
        <v>4.5225745153934602E-3</v>
      </c>
      <c r="D33" s="17">
        <f t="shared" si="1"/>
        <v>38.47102194510591</v>
      </c>
      <c r="E33" s="41" t="str">
        <f t="shared" si="2"/>
        <v>Y = 0,000 * X + 39,313</v>
      </c>
      <c r="F33" s="17">
        <f t="shared" si="3"/>
        <v>39.2503901848102</v>
      </c>
      <c r="G33" s="42">
        <f t="shared" si="4"/>
        <v>39.300238312077802</v>
      </c>
    </row>
    <row r="34" spans="1:7">
      <c r="A34" s="17">
        <f>Data!A34</f>
        <v>41.826754514426689</v>
      </c>
      <c r="B34" s="18">
        <v>33</v>
      </c>
      <c r="C34" s="40">
        <f t="shared" si="0"/>
        <v>6.4807452378079474E-3</v>
      </c>
      <c r="D34" s="17">
        <f t="shared" si="1"/>
        <v>38.123120280090269</v>
      </c>
      <c r="E34" s="41" t="str">
        <f t="shared" si="2"/>
        <v>Y = 0,000 * X + 39,313</v>
      </c>
      <c r="F34" s="17">
        <f t="shared" si="3"/>
        <v>39.2503901848102</v>
      </c>
      <c r="G34" s="42">
        <f t="shared" si="4"/>
        <v>39.299848873583528</v>
      </c>
    </row>
    <row r="35" spans="1:7">
      <c r="A35" s="17">
        <f>Data!A35</f>
        <v>25.053513054954479</v>
      </c>
      <c r="B35" s="18">
        <v>34</v>
      </c>
      <c r="C35" s="40">
        <f t="shared" si="0"/>
        <v>6.9274643419411763E-3</v>
      </c>
      <c r="D35" s="17">
        <f t="shared" si="1"/>
        <v>38.04360427955455</v>
      </c>
      <c r="E35" s="41" t="str">
        <f t="shared" si="2"/>
        <v>Y = 0,000 * X + 39,313</v>
      </c>
      <c r="F35" s="17">
        <f t="shared" si="3"/>
        <v>39.2503901848102</v>
      </c>
      <c r="G35" s="42">
        <f t="shared" si="4"/>
        <v>39.299459435089247</v>
      </c>
    </row>
    <row r="36" spans="1:7">
      <c r="A36" s="17">
        <f>Data!A36</f>
        <v>39.07267842455412</v>
      </c>
      <c r="B36" s="18">
        <v>35</v>
      </c>
      <c r="C36" s="40">
        <f t="shared" si="0"/>
        <v>5.2187272602582267E-3</v>
      </c>
      <c r="D36" s="17">
        <f t="shared" si="1"/>
        <v>38.348329059121355</v>
      </c>
      <c r="E36" s="41" t="str">
        <f t="shared" si="2"/>
        <v>Y = 0,000 * X + 39,313</v>
      </c>
      <c r="F36" s="17">
        <f t="shared" si="3"/>
        <v>39.2503901848102</v>
      </c>
      <c r="G36" s="42">
        <f t="shared" si="4"/>
        <v>39.299069996594966</v>
      </c>
    </row>
    <row r="37" spans="1:7">
      <c r="A37" s="17">
        <f>Data!A37</f>
        <v>31.821589738112348</v>
      </c>
      <c r="B37" s="18">
        <v>36</v>
      </c>
      <c r="C37" s="40">
        <f t="shared" si="0"/>
        <v>5.2893676312198139E-3</v>
      </c>
      <c r="D37" s="17">
        <f t="shared" si="1"/>
        <v>38.33570797950955</v>
      </c>
      <c r="E37" s="41" t="str">
        <f t="shared" si="2"/>
        <v>Y = 0,000 * X + 39,313</v>
      </c>
      <c r="F37" s="17">
        <f t="shared" si="3"/>
        <v>39.2503901848102</v>
      </c>
      <c r="G37" s="42">
        <f t="shared" si="4"/>
        <v>39.298680558100692</v>
      </c>
    </row>
    <row r="38" spans="1:7">
      <c r="A38" s="17">
        <f>Data!A38</f>
        <v>29.230441863480507</v>
      </c>
      <c r="B38" s="18">
        <v>37</v>
      </c>
      <c r="C38" s="40">
        <f t="shared" si="0"/>
        <v>4.4068435459070536E-3</v>
      </c>
      <c r="D38" s="17">
        <f t="shared" si="1"/>
        <v>38.493679790780533</v>
      </c>
      <c r="E38" s="41" t="str">
        <f t="shared" si="2"/>
        <v>Y = 0,000 * X + 39,313</v>
      </c>
      <c r="F38" s="17">
        <f t="shared" si="3"/>
        <v>39.2503901848102</v>
      </c>
      <c r="G38" s="42">
        <f t="shared" si="4"/>
        <v>39.298291119606411</v>
      </c>
    </row>
    <row r="39" spans="1:7">
      <c r="A39" s="17">
        <f>Data!A39</f>
        <v>31.796103980490635</v>
      </c>
      <c r="B39" s="18">
        <v>38</v>
      </c>
      <c r="C39" s="40">
        <f t="shared" si="0"/>
        <v>3.1543467164493501E-3</v>
      </c>
      <c r="D39" s="17">
        <f t="shared" si="1"/>
        <v>38.718294222196612</v>
      </c>
      <c r="E39" s="41" t="str">
        <f t="shared" si="2"/>
        <v>Y = 0,000 * X + 39,313</v>
      </c>
      <c r="F39" s="17">
        <f t="shared" si="3"/>
        <v>39.2503901848102</v>
      </c>
      <c r="G39" s="42">
        <f t="shared" si="4"/>
        <v>39.297901681112137</v>
      </c>
    </row>
    <row r="40" spans="1:7">
      <c r="A40" s="17">
        <f>Data!A40</f>
        <v>39.152870703837422</v>
      </c>
      <c r="B40" s="18">
        <v>39</v>
      </c>
      <c r="C40" s="40">
        <f t="shared" si="0"/>
        <v>2.2097805780789243E-3</v>
      </c>
      <c r="D40" s="17">
        <f t="shared" si="1"/>
        <v>38.88800127172383</v>
      </c>
      <c r="E40" s="41" t="str">
        <f t="shared" si="2"/>
        <v>Y = 0,000 * X + 39,313</v>
      </c>
      <c r="F40" s="17">
        <f t="shared" si="3"/>
        <v>39.2503901848102</v>
      </c>
      <c r="G40" s="42">
        <f t="shared" si="4"/>
        <v>39.297512242617856</v>
      </c>
    </row>
    <row r="41" spans="1:7">
      <c r="A41" s="17">
        <f>Data!A41</f>
        <v>22.554208480323876</v>
      </c>
      <c r="B41" s="18">
        <v>40</v>
      </c>
      <c r="C41" s="40">
        <f t="shared" si="0"/>
        <v>2.2339766497876073E-3</v>
      </c>
      <c r="D41" s="17">
        <f t="shared" si="1"/>
        <v>38.883645978816268</v>
      </c>
      <c r="E41" s="41" t="str">
        <f t="shared" si="2"/>
        <v>Y = 0,000 * X + 39,313</v>
      </c>
      <c r="F41" s="17">
        <f t="shared" si="3"/>
        <v>39.2503901848102</v>
      </c>
      <c r="G41" s="42">
        <f t="shared" si="4"/>
        <v>39.297122804123582</v>
      </c>
    </row>
    <row r="42" spans="1:7">
      <c r="A42" s="17">
        <f>Data!A42</f>
        <v>33.641128309332728</v>
      </c>
      <c r="B42" s="18">
        <v>41</v>
      </c>
      <c r="C42" s="40">
        <f t="shared" si="0"/>
        <v>-1.0561499834251662E-5</v>
      </c>
      <c r="D42" s="17">
        <f t="shared" si="1"/>
        <v>39.28841102513141</v>
      </c>
      <c r="E42" s="41" t="str">
        <f t="shared" si="2"/>
        <v>Y = 0,000 * X + 39,313</v>
      </c>
      <c r="F42" s="17">
        <f t="shared" si="3"/>
        <v>39.2503901848102</v>
      </c>
      <c r="G42" s="42">
        <f t="shared" si="4"/>
        <v>39.296733365629301</v>
      </c>
    </row>
    <row r="43" spans="1:7">
      <c r="A43" s="17">
        <f>Data!A43</f>
        <v>47.806128520129242</v>
      </c>
      <c r="B43" s="18">
        <v>42</v>
      </c>
      <c r="C43" s="40">
        <f t="shared" si="0"/>
        <v>-7.8993898800670456E-4</v>
      </c>
      <c r="D43" s="17">
        <f t="shared" si="1"/>
        <v>39.429218557994567</v>
      </c>
      <c r="E43" s="41" t="str">
        <f t="shared" si="2"/>
        <v>Y = 0,000 * X + 39,313</v>
      </c>
      <c r="F43" s="17">
        <f t="shared" si="3"/>
        <v>39.2503901848102</v>
      </c>
      <c r="G43" s="42">
        <f t="shared" si="4"/>
        <v>39.29634392713502</v>
      </c>
    </row>
    <row r="44" spans="1:7">
      <c r="A44" s="17">
        <f>Data!A44</f>
        <v>31.09147211647273</v>
      </c>
      <c r="B44" s="18">
        <v>43</v>
      </c>
      <c r="C44" s="40">
        <f t="shared" si="0"/>
        <v>3.8203528730419164E-4</v>
      </c>
      <c r="D44" s="17">
        <f t="shared" si="1"/>
        <v>39.217091214163283</v>
      </c>
      <c r="E44" s="41" t="str">
        <f t="shared" si="2"/>
        <v>Y = 0,000 * X + 39,313</v>
      </c>
      <c r="F44" s="17">
        <f t="shared" si="3"/>
        <v>39.2503901848102</v>
      </c>
      <c r="G44" s="42">
        <f t="shared" si="4"/>
        <v>39.295954488640746</v>
      </c>
    </row>
    <row r="45" spans="1:7">
      <c r="A45" s="17">
        <f>Data!A45</f>
        <v>37.886746621193424</v>
      </c>
      <c r="B45" s="18">
        <v>44</v>
      </c>
      <c r="C45" s="40">
        <f t="shared" si="0"/>
        <v>-7.636023396895657E-4</v>
      </c>
      <c r="D45" s="17">
        <f t="shared" si="1"/>
        <v>39.42483350385816</v>
      </c>
      <c r="E45" s="41" t="str">
        <f t="shared" si="2"/>
        <v>Y = 0,000 * X + 39,313</v>
      </c>
      <c r="F45" s="17">
        <f t="shared" si="3"/>
        <v>39.2503901848102</v>
      </c>
      <c r="G45" s="42">
        <f t="shared" si="4"/>
        <v>39.295565050146465</v>
      </c>
    </row>
    <row r="46" spans="1:7">
      <c r="A46" s="17">
        <f>Data!A46</f>
        <v>30.965765530816324</v>
      </c>
      <c r="B46" s="18">
        <v>45</v>
      </c>
      <c r="C46" s="40">
        <f t="shared" si="0"/>
        <v>-9.7735868063936605E-4</v>
      </c>
      <c r="D46" s="17">
        <f t="shared" si="1"/>
        <v>39.46366590579737</v>
      </c>
      <c r="E46" s="41" t="str">
        <f t="shared" si="2"/>
        <v>Y = 0,000 * X + 39,313</v>
      </c>
      <c r="F46" s="17">
        <f t="shared" si="3"/>
        <v>39.2503901848102</v>
      </c>
      <c r="G46" s="42">
        <f t="shared" si="4"/>
        <v>39.295175611652191</v>
      </c>
    </row>
    <row r="47" spans="1:7">
      <c r="A47" s="17">
        <f>Data!A47</f>
        <v>50.771440343585454</v>
      </c>
      <c r="B47" s="18">
        <v>46</v>
      </c>
      <c r="C47" s="40">
        <f t="shared" si="0"/>
        <v>-2.1902595750944959E-3</v>
      </c>
      <c r="D47" s="17">
        <f t="shared" si="1"/>
        <v>39.684413868588202</v>
      </c>
      <c r="E47" s="41" t="str">
        <f t="shared" si="2"/>
        <v>Y = 0,000 * X + 39,313</v>
      </c>
      <c r="F47" s="17">
        <f t="shared" si="3"/>
        <v>39.2503901848102</v>
      </c>
      <c r="G47" s="42">
        <f t="shared" si="4"/>
        <v>39.29478617315791</v>
      </c>
    </row>
    <row r="48" spans="1:7">
      <c r="A48" s="17">
        <f>Data!A48</f>
        <v>21.16762538627902</v>
      </c>
      <c r="B48" s="18">
        <v>47</v>
      </c>
      <c r="C48" s="40">
        <f t="shared" si="0"/>
        <v>-5.6931225323827962E-4</v>
      </c>
      <c r="D48" s="17">
        <f t="shared" si="1"/>
        <v>39.388861140236415</v>
      </c>
      <c r="E48" s="41" t="str">
        <f t="shared" si="2"/>
        <v>Y = 0,000 * X + 39,313</v>
      </c>
      <c r="F48" s="17">
        <f t="shared" si="3"/>
        <v>39.2503901848102</v>
      </c>
      <c r="G48" s="42">
        <f t="shared" si="4"/>
        <v>39.294396734663628</v>
      </c>
    </row>
    <row r="49" spans="1:7">
      <c r="A49" s="17">
        <f>Data!A49</f>
        <v>54.671996200986776</v>
      </c>
      <c r="B49" s="18">
        <v>48</v>
      </c>
      <c r="C49" s="40">
        <f t="shared" si="0"/>
        <v>-3.2315292085211868E-3</v>
      </c>
      <c r="D49" s="17">
        <f t="shared" si="1"/>
        <v>39.875159437401436</v>
      </c>
      <c r="E49" s="41" t="str">
        <f t="shared" si="2"/>
        <v>Y = 0,000 * X + 39,313</v>
      </c>
      <c r="F49" s="17">
        <f t="shared" si="3"/>
        <v>39.2503901848102</v>
      </c>
      <c r="G49" s="42">
        <f t="shared" si="4"/>
        <v>39.294007296169355</v>
      </c>
    </row>
    <row r="50" spans="1:7">
      <c r="A50" s="17">
        <f>Data!A50</f>
        <v>31.295929048042414</v>
      </c>
      <c r="B50" s="18">
        <v>49</v>
      </c>
      <c r="C50" s="40">
        <f t="shared" si="0"/>
        <v>-1.0219902450817888E-3</v>
      </c>
      <c r="D50" s="17">
        <f t="shared" si="1"/>
        <v>39.470813807092021</v>
      </c>
      <c r="E50" s="41" t="str">
        <f t="shared" si="2"/>
        <v>Y = 0,000 * X + 39,313</v>
      </c>
      <c r="F50" s="17">
        <f t="shared" si="3"/>
        <v>39.2503901848102</v>
      </c>
      <c r="G50" s="42">
        <f t="shared" si="4"/>
        <v>39.293617857675073</v>
      </c>
    </row>
    <row r="51" spans="1:7">
      <c r="A51" s="17">
        <f>Data!A51</f>
        <v>44.741151806377104</v>
      </c>
      <c r="B51" s="18">
        <v>50</v>
      </c>
      <c r="C51" s="40">
        <f t="shared" si="0"/>
        <v>-2.2346480416550163E-3</v>
      </c>
      <c r="D51" s="17">
        <f t="shared" si="1"/>
        <v>39.693134403130443</v>
      </c>
      <c r="E51" s="41" t="str">
        <f t="shared" si="2"/>
        <v>Y = 0,000 * X + 39,313</v>
      </c>
      <c r="F51" s="17">
        <f t="shared" si="3"/>
        <v>39.2503901848102</v>
      </c>
      <c r="G51" s="42">
        <f t="shared" si="4"/>
        <v>39.293228419180799</v>
      </c>
    </row>
    <row r="52" spans="1:7">
      <c r="A52" s="17">
        <f>Data!A52</f>
        <v>43.809006982539884</v>
      </c>
      <c r="B52" s="18">
        <v>51</v>
      </c>
      <c r="C52" s="40">
        <f t="shared" si="0"/>
        <v>-1.4567963122083724E-3</v>
      </c>
      <c r="D52" s="17">
        <f t="shared" si="1"/>
        <v>39.550268968822081</v>
      </c>
      <c r="E52" s="41" t="str">
        <f t="shared" si="2"/>
        <v>Y = 0,000 * X + 39,313</v>
      </c>
      <c r="F52" s="17">
        <f t="shared" si="3"/>
        <v>39.2503901848102</v>
      </c>
      <c r="G52" s="42">
        <f t="shared" si="4"/>
        <v>39.292838980686518</v>
      </c>
    </row>
    <row r="53" spans="1:7">
      <c r="A53" s="17">
        <f>Data!A53</f>
        <v>41.953601245414134</v>
      </c>
      <c r="B53" s="18">
        <v>52</v>
      </c>
      <c r="C53" s="40">
        <f t="shared" si="0"/>
        <v>-7.9697681690754955E-4</v>
      </c>
      <c r="D53" s="17">
        <f t="shared" si="1"/>
        <v>39.428862181686732</v>
      </c>
      <c r="E53" s="41" t="str">
        <f t="shared" si="2"/>
        <v>Y = 0,000 * X + 39,313</v>
      </c>
      <c r="F53" s="17">
        <f t="shared" si="3"/>
        <v>39.2503901848102</v>
      </c>
      <c r="G53" s="42">
        <f t="shared" si="4"/>
        <v>39.292449542192244</v>
      </c>
    </row>
    <row r="54" spans="1:7">
      <c r="A54" s="17">
        <f>Data!A54</f>
        <v>60.805513038292069</v>
      </c>
      <c r="B54" s="18">
        <v>53</v>
      </c>
      <c r="C54" s="40">
        <f t="shared" si="0"/>
        <v>-4.0224033664195986E-4</v>
      </c>
      <c r="D54" s="17">
        <f t="shared" si="1"/>
        <v>39.356099090491099</v>
      </c>
      <c r="E54" s="41" t="str">
        <f t="shared" si="2"/>
        <v>Y = 0,000 * X + 39,313</v>
      </c>
      <c r="F54" s="17">
        <f t="shared" si="3"/>
        <v>39.2503901848102</v>
      </c>
      <c r="G54" s="42">
        <f t="shared" si="4"/>
        <v>39.292060103697963</v>
      </c>
    </row>
    <row r="55" spans="1:7">
      <c r="A55" s="17">
        <f>Data!A55</f>
        <v>53.437103161621017</v>
      </c>
      <c r="B55" s="18">
        <v>54</v>
      </c>
      <c r="C55" s="40">
        <f t="shared" si="0"/>
        <v>2.934142034482513E-3</v>
      </c>
      <c r="D55" s="17">
        <f t="shared" si="1"/>
        <v>38.739980479290111</v>
      </c>
      <c r="E55" s="41" t="str">
        <f t="shared" si="2"/>
        <v>Y = 0,000 * X + 39,313</v>
      </c>
      <c r="F55" s="17">
        <f t="shared" si="3"/>
        <v>39.2503901848102</v>
      </c>
      <c r="G55" s="42">
        <f t="shared" si="4"/>
        <v>39.291670665203682</v>
      </c>
    </row>
    <row r="56" spans="1:7">
      <c r="A56" s="17">
        <f>Data!A56</f>
        <v>39.345024748777398</v>
      </c>
      <c r="B56" s="18">
        <v>55</v>
      </c>
      <c r="C56" s="40">
        <f t="shared" si="0"/>
        <v>5.216509226392857E-3</v>
      </c>
      <c r="D56" s="17">
        <f t="shared" si="1"/>
        <v>38.317742548786704</v>
      </c>
      <c r="E56" s="41" t="str">
        <f t="shared" si="2"/>
        <v>Y = 0,000 * X + 39,313</v>
      </c>
      <c r="F56" s="17">
        <f t="shared" si="3"/>
        <v>39.2503901848102</v>
      </c>
      <c r="G56" s="42">
        <f t="shared" si="4"/>
        <v>39.291281226709408</v>
      </c>
    </row>
    <row r="57" spans="1:7">
      <c r="A57" s="17">
        <f>Data!A57</f>
        <v>32.291600115490077</v>
      </c>
      <c r="B57" s="18">
        <v>56</v>
      </c>
      <c r="C57" s="40">
        <f t="shared" si="0"/>
        <v>5.3339357438455404E-3</v>
      </c>
      <c r="D57" s="17">
        <f t="shared" si="1"/>
        <v>38.295979500885473</v>
      </c>
      <c r="E57" s="41" t="str">
        <f t="shared" si="2"/>
        <v>Y = 0,000 * X + 39,313</v>
      </c>
      <c r="F57" s="17">
        <f t="shared" si="3"/>
        <v>39.2503901848102</v>
      </c>
      <c r="G57" s="42">
        <f t="shared" si="4"/>
        <v>39.290891788215127</v>
      </c>
    </row>
    <row r="58" spans="1:7">
      <c r="A58" s="17">
        <f>Data!A58</f>
        <v>35.79750541094333</v>
      </c>
      <c r="B58" s="18">
        <v>57</v>
      </c>
      <c r="C58" s="40">
        <f t="shared" si="0"/>
        <v>4.3238807595416939E-3</v>
      </c>
      <c r="D58" s="17">
        <f t="shared" si="1"/>
        <v>38.483513042971218</v>
      </c>
      <c r="E58" s="41" t="str">
        <f t="shared" si="2"/>
        <v>Y = 0,000 * X + 39,313</v>
      </c>
      <c r="F58" s="17">
        <f t="shared" si="3"/>
        <v>39.2503901848102</v>
      </c>
      <c r="G58" s="42">
        <f t="shared" si="4"/>
        <v>39.290502349720853</v>
      </c>
    </row>
    <row r="59" spans="1:7">
      <c r="A59" s="17">
        <f>Data!A59</f>
        <v>33.713157510956783</v>
      </c>
      <c r="B59" s="18">
        <v>58</v>
      </c>
      <c r="C59" s="40">
        <f t="shared" si="0"/>
        <v>3.8490639144442527E-3</v>
      </c>
      <c r="D59" s="17">
        <f t="shared" si="1"/>
        <v>38.571828976159338</v>
      </c>
      <c r="E59" s="41" t="str">
        <f t="shared" si="2"/>
        <v>Y = 0,000 * X + 39,313</v>
      </c>
      <c r="F59" s="17">
        <f t="shared" si="3"/>
        <v>39.2503901848102</v>
      </c>
      <c r="G59" s="42">
        <f t="shared" si="4"/>
        <v>39.290112911226572</v>
      </c>
    </row>
    <row r="60" spans="1:7">
      <c r="A60" s="17">
        <f>Data!A60</f>
        <v>44.694961756628658</v>
      </c>
      <c r="B60" s="18">
        <v>59</v>
      </c>
      <c r="C60" s="40">
        <f t="shared" si="0"/>
        <v>3.017598408514888E-3</v>
      </c>
      <c r="D60" s="17">
        <f t="shared" si="1"/>
        <v>38.726758715430854</v>
      </c>
      <c r="E60" s="41" t="str">
        <f t="shared" si="2"/>
        <v>Y = 0,000 * X + 39,313</v>
      </c>
      <c r="F60" s="17">
        <f t="shared" si="3"/>
        <v>39.2503901848102</v>
      </c>
      <c r="G60" s="42">
        <f t="shared" si="4"/>
        <v>39.289723472732291</v>
      </c>
    </row>
    <row r="61" spans="1:7">
      <c r="A61" s="17">
        <f>Data!A61</f>
        <v>41.027506718959991</v>
      </c>
      <c r="B61" s="18">
        <v>60</v>
      </c>
      <c r="C61" s="40">
        <f t="shared" si="0"/>
        <v>3.9749141541906277E-3</v>
      </c>
      <c r="D61" s="17">
        <f t="shared" si="1"/>
        <v>38.548059776238041</v>
      </c>
      <c r="E61" s="41" t="str">
        <f t="shared" si="2"/>
        <v>Y = 0,000 * X + 39,313</v>
      </c>
      <c r="F61" s="17">
        <f t="shared" si="3"/>
        <v>39.2503901848102</v>
      </c>
      <c r="G61" s="42">
        <f t="shared" si="4"/>
        <v>39.289334034238017</v>
      </c>
    </row>
    <row r="62" spans="1:7">
      <c r="A62" s="17">
        <f>Data!A62</f>
        <v>38.943935388359066</v>
      </c>
      <c r="B62" s="18">
        <v>61</v>
      </c>
      <c r="C62" s="40">
        <f t="shared" si="0"/>
        <v>4.3493422399835217E-3</v>
      </c>
      <c r="D62" s="17">
        <f t="shared" si="1"/>
        <v>38.478041724194775</v>
      </c>
      <c r="E62" s="41" t="str">
        <f t="shared" si="2"/>
        <v>Y = 0,000 * X + 39,313</v>
      </c>
      <c r="F62" s="17">
        <f t="shared" si="3"/>
        <v>39.2503901848102</v>
      </c>
      <c r="G62" s="42">
        <f t="shared" si="4"/>
        <v>39.288944595743736</v>
      </c>
    </row>
    <row r="63" spans="1:7">
      <c r="A63" s="17">
        <f>Data!A63</f>
        <v>43.833299800352215</v>
      </c>
      <c r="B63" s="18">
        <v>62</v>
      </c>
      <c r="C63" s="40">
        <f t="shared" si="0"/>
        <v>4.3832131936352168E-3</v>
      </c>
      <c r="D63" s="17">
        <f t="shared" si="1"/>
        <v>38.471696565544022</v>
      </c>
      <c r="E63" s="41" t="str">
        <f t="shared" si="2"/>
        <v>Y = 0,000 * X + 39,313</v>
      </c>
      <c r="F63" s="17">
        <f t="shared" si="3"/>
        <v>39.2503901848102</v>
      </c>
      <c r="G63" s="42">
        <f t="shared" si="4"/>
        <v>39.288555157249462</v>
      </c>
    </row>
    <row r="64" spans="1:7">
      <c r="A64" s="17">
        <f>Data!A64</f>
        <v>24.110483304000283</v>
      </c>
      <c r="B64" s="18">
        <v>63</v>
      </c>
      <c r="C64" s="40">
        <f t="shared" si="0"/>
        <v>5.251886083065674E-3</v>
      </c>
      <c r="D64" s="17">
        <f t="shared" si="1"/>
        <v>38.308675619960894</v>
      </c>
      <c r="E64" s="41" t="str">
        <f t="shared" si="2"/>
        <v>Y = 0,000 * X + 39,313</v>
      </c>
      <c r="F64" s="17">
        <f t="shared" si="3"/>
        <v>39.2503901848102</v>
      </c>
      <c r="G64" s="42">
        <f t="shared" si="4"/>
        <v>39.288165718755181</v>
      </c>
    </row>
    <row r="65" spans="1:7">
      <c r="A65" s="17">
        <f>Data!A65</f>
        <v>37.94645298189316</v>
      </c>
      <c r="B65" s="18">
        <v>64</v>
      </c>
      <c r="C65" s="40">
        <f t="shared" si="0"/>
        <v>2.7455791761838893E-3</v>
      </c>
      <c r="D65" s="17">
        <f t="shared" si="1"/>
        <v>38.779861318454678</v>
      </c>
      <c r="E65" s="41" t="str">
        <f t="shared" si="2"/>
        <v>Y = 0,000 * X + 39,313</v>
      </c>
      <c r="F65" s="17">
        <f t="shared" si="3"/>
        <v>39.2503901848102</v>
      </c>
      <c r="G65" s="42">
        <f t="shared" si="4"/>
        <v>39.2877762802609</v>
      </c>
    </row>
    <row r="66" spans="1:7">
      <c r="A66" s="17">
        <f>Data!A66</f>
        <v>29.475621966392367</v>
      </c>
      <c r="B66" s="18">
        <v>65</v>
      </c>
      <c r="C66" s="40">
        <f t="shared" ref="C66:C129" si="5">SLOPE(A66:A315,B66:B315)</f>
        <v>2.5696200822279518E-3</v>
      </c>
      <c r="D66" s="17">
        <f t="shared" ref="D66:D129" si="6">INTERCEPT(A66:A315,B66:B315)</f>
        <v>38.813000281149712</v>
      </c>
      <c r="E66" s="41" t="str">
        <f t="shared" ref="E66:E129" si="7">"Y = " &amp; TEXT($C$2,"0,000") &amp; " * X + " &amp; TEXT($D$2,"0,000")</f>
        <v>Y = 0,000 * X + 39,313</v>
      </c>
      <c r="F66" s="17">
        <f t="shared" ref="F66:F129" si="8">$C$2*160 + $D$2</f>
        <v>39.2503901848102</v>
      </c>
      <c r="G66" s="42">
        <f t="shared" si="4"/>
        <v>39.287386841766626</v>
      </c>
    </row>
    <row r="67" spans="1:7">
      <c r="A67" s="17">
        <f>Data!A67</f>
        <v>44.39221521710536</v>
      </c>
      <c r="B67" s="18">
        <v>66</v>
      </c>
      <c r="C67" s="40">
        <f t="shared" si="5"/>
        <v>8.9434329842617019E-4</v>
      </c>
      <c r="D67" s="17">
        <f t="shared" si="6"/>
        <v>39.129069167693643</v>
      </c>
      <c r="E67" s="41" t="str">
        <f t="shared" si="7"/>
        <v>Y = 0,000 * X + 39,313</v>
      </c>
      <c r="F67" s="17">
        <f t="shared" si="8"/>
        <v>39.2503901848102</v>
      </c>
      <c r="G67" s="42">
        <f t="shared" ref="G67:G130" si="9">$C$2*B67 + $D$2</f>
        <v>39.286997403272345</v>
      </c>
    </row>
    <row r="68" spans="1:7">
      <c r="A68" s="17">
        <f>Data!A68</f>
        <v>37.571413835342057</v>
      </c>
      <c r="B68" s="18">
        <v>67</v>
      </c>
      <c r="C68" s="40">
        <f t="shared" si="5"/>
        <v>1.8216632185465516E-3</v>
      </c>
      <c r="D68" s="17">
        <f t="shared" si="6"/>
        <v>38.953805702790888</v>
      </c>
      <c r="E68" s="41" t="str">
        <f t="shared" si="7"/>
        <v>Y = 0,000 * X + 39,313</v>
      </c>
      <c r="F68" s="17">
        <f t="shared" si="8"/>
        <v>39.2503901848102</v>
      </c>
      <c r="G68" s="42">
        <f t="shared" si="9"/>
        <v>39.286607964778071</v>
      </c>
    </row>
    <row r="69" spans="1:7">
      <c r="A69" s="17">
        <f>Data!A69</f>
        <v>29.522295117768863</v>
      </c>
      <c r="B69" s="18">
        <v>68</v>
      </c>
      <c r="C69" s="40">
        <f t="shared" si="5"/>
        <v>1.550641185923347E-3</v>
      </c>
      <c r="D69" s="17">
        <f t="shared" si="6"/>
        <v>39.005119207634223</v>
      </c>
      <c r="E69" s="41" t="str">
        <f t="shared" si="7"/>
        <v>Y = 0,000 * X + 39,313</v>
      </c>
      <c r="F69" s="17">
        <f t="shared" si="8"/>
        <v>39.2503901848102</v>
      </c>
      <c r="G69" s="42">
        <f t="shared" si="9"/>
        <v>39.28621852628379</v>
      </c>
    </row>
    <row r="70" spans="1:7">
      <c r="A70" s="17">
        <f>Data!A70</f>
        <v>55.342072582085663</v>
      </c>
      <c r="B70" s="18">
        <v>69</v>
      </c>
      <c r="C70" s="40">
        <f t="shared" si="5"/>
        <v>-1.9574962650605157E-4</v>
      </c>
      <c r="D70" s="17">
        <f t="shared" si="6"/>
        <v>39.336351331724991</v>
      </c>
      <c r="E70" s="41" t="str">
        <f t="shared" si="7"/>
        <v>Y = 0,000 * X + 39,313</v>
      </c>
      <c r="F70" s="17">
        <f t="shared" si="8"/>
        <v>39.2503901848102</v>
      </c>
      <c r="G70" s="42">
        <f t="shared" si="9"/>
        <v>39.285829087789516</v>
      </c>
    </row>
    <row r="71" spans="1:7">
      <c r="A71" s="17">
        <f>Data!A71</f>
        <v>25.91805309177866</v>
      </c>
      <c r="B71" s="18">
        <v>70</v>
      </c>
      <c r="C71" s="40">
        <f t="shared" si="5"/>
        <v>2.7543844387959162E-3</v>
      </c>
      <c r="D71" s="17">
        <f t="shared" si="6"/>
        <v>38.775825859317614</v>
      </c>
      <c r="E71" s="41" t="str">
        <f t="shared" si="7"/>
        <v>Y = 0,000 * X + 39,313</v>
      </c>
      <c r="F71" s="17">
        <f t="shared" si="8"/>
        <v>39.2503901848102</v>
      </c>
      <c r="G71" s="42">
        <f t="shared" si="9"/>
        <v>39.285439649295235</v>
      </c>
    </row>
    <row r="72" spans="1:7">
      <c r="A72" s="17">
        <f>Data!A72</f>
        <v>39.762869794724345</v>
      </c>
      <c r="B72" s="18">
        <v>71</v>
      </c>
      <c r="C72" s="40">
        <f t="shared" si="5"/>
        <v>3.241088934970946E-4</v>
      </c>
      <c r="D72" s="17">
        <f t="shared" si="6"/>
        <v>39.238388304772826</v>
      </c>
      <c r="E72" s="41" t="str">
        <f t="shared" si="7"/>
        <v>Y = 0,000 * X + 39,313</v>
      </c>
      <c r="F72" s="17">
        <f t="shared" si="8"/>
        <v>39.2503901848102</v>
      </c>
      <c r="G72" s="42">
        <f t="shared" si="9"/>
        <v>39.285050210800954</v>
      </c>
    </row>
    <row r="73" spans="1:7">
      <c r="A73" s="17">
        <f>Data!A73</f>
        <v>41.914769475411596</v>
      </c>
      <c r="B73" s="18">
        <v>72</v>
      </c>
      <c r="C73" s="40">
        <f t="shared" si="5"/>
        <v>4.1854171476002463E-4</v>
      </c>
      <c r="D73" s="17">
        <f t="shared" si="6"/>
        <v>39.220383113518686</v>
      </c>
      <c r="E73" s="41" t="str">
        <f t="shared" si="7"/>
        <v>Y = 0,000 * X + 39,313</v>
      </c>
      <c r="F73" s="17">
        <f t="shared" si="8"/>
        <v>39.2503901848102</v>
      </c>
      <c r="G73" s="42">
        <f t="shared" si="9"/>
        <v>39.28466077230668</v>
      </c>
    </row>
    <row r="74" spans="1:7">
      <c r="A74" s="17">
        <f>Data!A74</f>
        <v>43.288227448678242</v>
      </c>
      <c r="B74" s="18">
        <v>73</v>
      </c>
      <c r="C74" s="40">
        <f t="shared" si="5"/>
        <v>9.2592152021234251E-4</v>
      </c>
      <c r="D74" s="17">
        <f t="shared" si="6"/>
        <v>39.123473570677298</v>
      </c>
      <c r="E74" s="41" t="str">
        <f t="shared" si="7"/>
        <v>Y = 0,000 * X + 39,313</v>
      </c>
      <c r="F74" s="17">
        <f t="shared" si="8"/>
        <v>39.2503901848102</v>
      </c>
      <c r="G74" s="42">
        <f t="shared" si="9"/>
        <v>39.284271333812399</v>
      </c>
    </row>
    <row r="75" spans="1:7">
      <c r="A75" s="17">
        <f>Data!A75</f>
        <v>41.816664685295457</v>
      </c>
      <c r="B75" s="18">
        <v>74</v>
      </c>
      <c r="C75" s="40">
        <f t="shared" si="5"/>
        <v>1.7150512596240345E-3</v>
      </c>
      <c r="D75" s="17">
        <f t="shared" si="6"/>
        <v>38.972486747203192</v>
      </c>
      <c r="E75" s="41" t="str">
        <f t="shared" si="7"/>
        <v>Y = 0,000 * X + 39,313</v>
      </c>
      <c r="F75" s="17">
        <f t="shared" si="8"/>
        <v>39.2503901848102</v>
      </c>
      <c r="G75" s="42">
        <f t="shared" si="9"/>
        <v>39.283881895318125</v>
      </c>
    </row>
    <row r="76" spans="1:7">
      <c r="A76" s="17">
        <f>Data!A76</f>
        <v>34.418848382661295</v>
      </c>
      <c r="B76" s="18">
        <v>75</v>
      </c>
      <c r="C76" s="40">
        <f t="shared" si="5"/>
        <v>2.2443884307045648E-3</v>
      </c>
      <c r="D76" s="17">
        <f t="shared" si="6"/>
        <v>38.871030456079424</v>
      </c>
      <c r="E76" s="41" t="str">
        <f t="shared" si="7"/>
        <v>Y = 0,000 * X + 39,313</v>
      </c>
      <c r="F76" s="17">
        <f t="shared" si="8"/>
        <v>39.2503901848102</v>
      </c>
      <c r="G76" s="42">
        <f t="shared" si="9"/>
        <v>39.283492456823843</v>
      </c>
    </row>
    <row r="77" spans="1:7">
      <c r="A77" s="17">
        <f>Data!A77</f>
        <v>56.293559296373672</v>
      </c>
      <c r="B77" s="18">
        <v>76</v>
      </c>
      <c r="C77" s="40">
        <f t="shared" si="5"/>
        <v>1.3339428729270398E-3</v>
      </c>
      <c r="D77" s="17">
        <f t="shared" si="6"/>
        <v>39.04583600317271</v>
      </c>
      <c r="E77" s="41" t="str">
        <f t="shared" si="7"/>
        <v>Y = 0,000 * X + 39,313</v>
      </c>
      <c r="F77" s="17">
        <f t="shared" si="8"/>
        <v>39.2503901848102</v>
      </c>
      <c r="G77" s="42">
        <f t="shared" si="9"/>
        <v>39.283103018329562</v>
      </c>
    </row>
    <row r="78" spans="1:7">
      <c r="A78" s="17">
        <f>Data!A78</f>
        <v>20.393306924307375</v>
      </c>
      <c r="B78" s="18">
        <v>77</v>
      </c>
      <c r="C78" s="40">
        <f t="shared" si="5"/>
        <v>4.7515915942462498E-3</v>
      </c>
      <c r="D78" s="17">
        <f t="shared" si="6"/>
        <v>38.38850823243898</v>
      </c>
      <c r="E78" s="41" t="str">
        <f t="shared" si="7"/>
        <v>Y = 0,000 * X + 39,313</v>
      </c>
      <c r="F78" s="17">
        <f t="shared" si="8"/>
        <v>39.2503901848102</v>
      </c>
      <c r="G78" s="42">
        <f t="shared" si="9"/>
        <v>39.282713579835288</v>
      </c>
    </row>
    <row r="79" spans="1:7">
      <c r="A79" s="17">
        <f>Data!A79</f>
        <v>38.684073317425977</v>
      </c>
      <c r="B79" s="18">
        <v>78</v>
      </c>
      <c r="C79" s="40">
        <f t="shared" si="5"/>
        <v>1.0492645622079614E-3</v>
      </c>
      <c r="D79" s="17">
        <f t="shared" si="6"/>
        <v>39.101823240611687</v>
      </c>
      <c r="E79" s="41" t="str">
        <f t="shared" si="7"/>
        <v>Y = 0,000 * X + 39,313</v>
      </c>
      <c r="F79" s="17">
        <f t="shared" si="8"/>
        <v>39.2503901848102</v>
      </c>
      <c r="G79" s="42">
        <f t="shared" si="9"/>
        <v>39.282324141341007</v>
      </c>
    </row>
    <row r="80" spans="1:7">
      <c r="A80" s="17">
        <f>Data!A80</f>
        <v>24.162612244555426</v>
      </c>
      <c r="B80" s="18">
        <v>79</v>
      </c>
      <c r="C80" s="40">
        <f t="shared" si="5"/>
        <v>9.473484954927551E-4</v>
      </c>
      <c r="D80" s="17">
        <f t="shared" si="6"/>
        <v>39.121493041487717</v>
      </c>
      <c r="E80" s="41" t="str">
        <f t="shared" si="7"/>
        <v>Y = 0,000 * X + 39,313</v>
      </c>
      <c r="F80" s="17">
        <f t="shared" si="8"/>
        <v>39.2503901848102</v>
      </c>
      <c r="G80" s="42">
        <f t="shared" si="9"/>
        <v>39.281934702846733</v>
      </c>
    </row>
    <row r="81" spans="1:7">
      <c r="A81" s="17">
        <f>Data!A81</f>
        <v>42.117100602524786</v>
      </c>
      <c r="B81" s="18">
        <v>80</v>
      </c>
      <c r="C81" s="40">
        <f t="shared" si="5"/>
        <v>-2.1555867631401046E-3</v>
      </c>
      <c r="D81" s="17">
        <f t="shared" si="6"/>
        <v>39.721393858156738</v>
      </c>
      <c r="E81" s="41" t="str">
        <f t="shared" si="7"/>
        <v>Y = 0,000 * X + 39,313</v>
      </c>
      <c r="F81" s="17">
        <f t="shared" si="8"/>
        <v>39.2503901848102</v>
      </c>
      <c r="G81" s="42">
        <f t="shared" si="9"/>
        <v>39.281545264352452</v>
      </c>
    </row>
    <row r="82" spans="1:7">
      <c r="A82" s="17">
        <f>Data!A82</f>
        <v>38.265859985897926</v>
      </c>
      <c r="B82" s="18">
        <v>81</v>
      </c>
      <c r="C82" s="40">
        <f t="shared" si="5"/>
        <v>-1.6192511518447524E-3</v>
      </c>
      <c r="D82" s="17">
        <f t="shared" si="6"/>
        <v>39.617523528102538</v>
      </c>
      <c r="E82" s="41" t="str">
        <f t="shared" si="7"/>
        <v>Y = 0,000 * X + 39,313</v>
      </c>
      <c r="F82" s="17">
        <f t="shared" si="8"/>
        <v>39.2503901848102</v>
      </c>
      <c r="G82" s="42">
        <f t="shared" si="9"/>
        <v>39.281155825858178</v>
      </c>
    </row>
    <row r="83" spans="1:7">
      <c r="A83" s="17">
        <f>Data!A83</f>
        <v>40.150343035632716</v>
      </c>
      <c r="B83" s="18">
        <v>82</v>
      </c>
      <c r="C83" s="40">
        <f t="shared" si="5"/>
        <v>-1.8771768067275016E-3</v>
      </c>
      <c r="D83" s="17">
        <f t="shared" si="6"/>
        <v>39.667561105149794</v>
      </c>
      <c r="E83" s="41" t="str">
        <f t="shared" si="7"/>
        <v>Y = 0,000 * X + 39,313</v>
      </c>
      <c r="F83" s="17">
        <f t="shared" si="8"/>
        <v>39.2503901848102</v>
      </c>
      <c r="G83" s="42">
        <f t="shared" si="9"/>
        <v>39.280766387363897</v>
      </c>
    </row>
    <row r="84" spans="1:7">
      <c r="A84" s="17">
        <f>Data!A84</f>
        <v>32.559560265273191</v>
      </c>
      <c r="B84" s="18">
        <v>83</v>
      </c>
      <c r="C84" s="40">
        <f t="shared" si="5"/>
        <v>-1.7410111889698942E-3</v>
      </c>
      <c r="D84" s="17">
        <f t="shared" si="6"/>
        <v>39.641099586765563</v>
      </c>
      <c r="E84" s="41" t="str">
        <f t="shared" si="7"/>
        <v>Y = 0,000 * X + 39,313</v>
      </c>
      <c r="F84" s="17">
        <f t="shared" si="8"/>
        <v>39.2503901848102</v>
      </c>
      <c r="G84" s="42">
        <f t="shared" si="9"/>
        <v>39.280376948869616</v>
      </c>
    </row>
    <row r="85" spans="1:7">
      <c r="A85" s="17">
        <f>Data!A85</f>
        <v>41.986302857577506</v>
      </c>
      <c r="B85" s="18">
        <v>84</v>
      </c>
      <c r="C85" s="40">
        <f t="shared" si="5"/>
        <v>-3.24242567410254E-3</v>
      </c>
      <c r="D85" s="17">
        <f t="shared" si="6"/>
        <v>39.933374939871385</v>
      </c>
      <c r="E85" s="41" t="str">
        <f t="shared" si="7"/>
        <v>Y = 0,000 * X + 39,313</v>
      </c>
      <c r="F85" s="17">
        <f t="shared" si="8"/>
        <v>39.2503901848102</v>
      </c>
      <c r="G85" s="42">
        <f t="shared" si="9"/>
        <v>39.279987510375342</v>
      </c>
    </row>
    <row r="86" spans="1:7">
      <c r="A86" s="17">
        <f>Data!A86</f>
        <v>39.151798309299217</v>
      </c>
      <c r="B86" s="18">
        <v>85</v>
      </c>
      <c r="C86" s="40">
        <f t="shared" si="5"/>
        <v>-2.7330518133510152E-3</v>
      </c>
      <c r="D86" s="17">
        <f t="shared" si="6"/>
        <v>39.834047037024831</v>
      </c>
      <c r="E86" s="41" t="str">
        <f t="shared" si="7"/>
        <v>Y = 0,000 * X + 39,313</v>
      </c>
      <c r="F86" s="17">
        <f t="shared" si="8"/>
        <v>39.2503901848102</v>
      </c>
      <c r="G86" s="42">
        <f t="shared" si="9"/>
        <v>39.279598071881061</v>
      </c>
    </row>
    <row r="87" spans="1:7">
      <c r="A87" s="17">
        <f>Data!A87</f>
        <v>28.110802666498188</v>
      </c>
      <c r="B87" s="18">
        <v>86</v>
      </c>
      <c r="C87" s="40">
        <f t="shared" si="5"/>
        <v>-2.8328166301117177E-3</v>
      </c>
      <c r="D87" s="17">
        <f t="shared" si="6"/>
        <v>39.853534431232092</v>
      </c>
      <c r="E87" s="41" t="str">
        <f t="shared" si="7"/>
        <v>Y = 0,000 * X + 39,313</v>
      </c>
      <c r="F87" s="17">
        <f t="shared" si="8"/>
        <v>39.2503901848102</v>
      </c>
      <c r="G87" s="42">
        <f t="shared" si="9"/>
        <v>39.279208633386787</v>
      </c>
    </row>
    <row r="88" spans="1:7">
      <c r="A88" s="17">
        <f>Data!A88</f>
        <v>25.385238900579317</v>
      </c>
      <c r="B88" s="18">
        <v>87</v>
      </c>
      <c r="C88" s="40">
        <f t="shared" si="5"/>
        <v>-5.4137928835632319E-3</v>
      </c>
      <c r="D88" s="17">
        <f t="shared" si="6"/>
        <v>40.35854545149077</v>
      </c>
      <c r="E88" s="41" t="str">
        <f t="shared" si="7"/>
        <v>Y = 0,000 * X + 39,313</v>
      </c>
      <c r="F88" s="17">
        <f t="shared" si="8"/>
        <v>39.2503901848102</v>
      </c>
      <c r="G88" s="42">
        <f t="shared" si="9"/>
        <v>39.278819194892506</v>
      </c>
    </row>
    <row r="89" spans="1:7">
      <c r="A89" s="17">
        <f>Data!A89</f>
        <v>40.042423772421941</v>
      </c>
      <c r="B89" s="18">
        <v>88</v>
      </c>
      <c r="C89" s="40">
        <f t="shared" si="5"/>
        <v>-8.7090227336067329E-3</v>
      </c>
      <c r="D89" s="17">
        <f t="shared" si="6"/>
        <v>41.004410502099304</v>
      </c>
      <c r="E89" s="41" t="str">
        <f t="shared" si="7"/>
        <v>Y = 0,000 * X + 39,313</v>
      </c>
      <c r="F89" s="17">
        <f t="shared" si="8"/>
        <v>39.2503901848102</v>
      </c>
      <c r="G89" s="42">
        <f t="shared" si="9"/>
        <v>39.278429756398225</v>
      </c>
    </row>
    <row r="90" spans="1:7">
      <c r="A90" s="17">
        <f>Data!A90</f>
        <v>40.99652909655002</v>
      </c>
      <c r="B90" s="18">
        <v>89</v>
      </c>
      <c r="C90" s="40">
        <f t="shared" si="5"/>
        <v>-8.754017610330905E-3</v>
      </c>
      <c r="D90" s="17">
        <f t="shared" si="6"/>
        <v>41.013244496229483</v>
      </c>
      <c r="E90" s="41" t="str">
        <f t="shared" si="7"/>
        <v>Y = 0,000 * X + 39,313</v>
      </c>
      <c r="F90" s="17">
        <f t="shared" si="8"/>
        <v>39.2503901848102</v>
      </c>
      <c r="G90" s="42">
        <f t="shared" si="9"/>
        <v>39.278040317903951</v>
      </c>
    </row>
    <row r="91" spans="1:7">
      <c r="A91" s="17">
        <f>Data!A91</f>
        <v>26.58281199058332</v>
      </c>
      <c r="B91" s="18">
        <v>90</v>
      </c>
      <c r="C91" s="40">
        <f t="shared" si="5"/>
        <v>-8.576441794886808E-3</v>
      </c>
      <c r="D91" s="17">
        <f t="shared" si="6"/>
        <v>40.978321252525475</v>
      </c>
      <c r="E91" s="41" t="str">
        <f t="shared" si="7"/>
        <v>Y = 0,000 * X + 39,313</v>
      </c>
      <c r="F91" s="17">
        <f t="shared" si="8"/>
        <v>39.2503901848102</v>
      </c>
      <c r="G91" s="42">
        <f t="shared" si="9"/>
        <v>39.27765087940967</v>
      </c>
    </row>
    <row r="92" spans="1:7">
      <c r="A92" s="17">
        <f>Data!A92</f>
        <v>46.943522843547413</v>
      </c>
      <c r="B92" s="18">
        <v>91</v>
      </c>
      <c r="C92" s="40">
        <f t="shared" si="5"/>
        <v>-1.1789561960076038E-2</v>
      </c>
      <c r="D92" s="17">
        <f t="shared" si="6"/>
        <v>41.611305925067761</v>
      </c>
      <c r="E92" s="41" t="str">
        <f t="shared" si="7"/>
        <v>Y = 0,000 * X + 39,313</v>
      </c>
      <c r="F92" s="17">
        <f t="shared" si="8"/>
        <v>39.2503901848102</v>
      </c>
      <c r="G92" s="42">
        <f t="shared" si="9"/>
        <v>39.277261440915396</v>
      </c>
    </row>
    <row r="93" spans="1:7">
      <c r="A93" s="17">
        <f>Data!A93</f>
        <v>25.37835591370073</v>
      </c>
      <c r="B93" s="18">
        <v>92</v>
      </c>
      <c r="C93" s="40">
        <f t="shared" si="5"/>
        <v>-1.0259811050869795E-2</v>
      </c>
      <c r="D93" s="17">
        <f t="shared" si="6"/>
        <v>41.309435078984393</v>
      </c>
      <c r="E93" s="41" t="str">
        <f t="shared" si="7"/>
        <v>Y = 0,000 * X + 39,313</v>
      </c>
      <c r="F93" s="17">
        <f t="shared" si="8"/>
        <v>39.2503901848102</v>
      </c>
      <c r="G93" s="42">
        <f t="shared" si="9"/>
        <v>39.276872002421115</v>
      </c>
    </row>
    <row r="94" spans="1:7">
      <c r="A94" s="17">
        <f>Data!A94</f>
        <v>53.294325856877137</v>
      </c>
      <c r="B94" s="18">
        <v>93</v>
      </c>
      <c r="C94" s="40">
        <f t="shared" si="5"/>
        <v>-1.3884863832117135E-2</v>
      </c>
      <c r="D94" s="17">
        <f t="shared" si="6"/>
        <v>42.025987178744288</v>
      </c>
      <c r="E94" s="41" t="str">
        <f t="shared" si="7"/>
        <v>Y = 0,000 * X + 39,313</v>
      </c>
      <c r="F94" s="17">
        <f t="shared" si="8"/>
        <v>39.2503901848102</v>
      </c>
      <c r="G94" s="42">
        <f t="shared" si="9"/>
        <v>39.276482563926834</v>
      </c>
    </row>
    <row r="95" spans="1:7">
      <c r="A95" s="17">
        <f>Data!A95</f>
        <v>52.735585903820656</v>
      </c>
      <c r="B95" s="18">
        <v>94</v>
      </c>
      <c r="C95" s="40">
        <f t="shared" si="5"/>
        <v>-1.0808031148501323E-2</v>
      </c>
      <c r="D95" s="17">
        <f t="shared" si="6"/>
        <v>41.416774307388359</v>
      </c>
      <c r="E95" s="41" t="str">
        <f t="shared" si="7"/>
        <v>Y = 0,000 * X + 39,313</v>
      </c>
      <c r="F95" s="17">
        <f t="shared" si="8"/>
        <v>39.2503901848102</v>
      </c>
      <c r="G95" s="42">
        <f t="shared" si="9"/>
        <v>39.27609312543256</v>
      </c>
    </row>
    <row r="96" spans="1:7">
      <c r="A96" s="17">
        <f>Data!A96</f>
        <v>34.677330316005452</v>
      </c>
      <c r="B96" s="18">
        <v>95</v>
      </c>
      <c r="C96" s="40">
        <f t="shared" si="5"/>
        <v>-7.7472950382305068E-3</v>
      </c>
      <c r="D96" s="17">
        <f t="shared" si="6"/>
        <v>40.809728312184639</v>
      </c>
      <c r="E96" s="41" t="str">
        <f t="shared" si="7"/>
        <v>Y = 0,000 * X + 39,313</v>
      </c>
      <c r="F96" s="17">
        <f t="shared" si="8"/>
        <v>39.2503901848102</v>
      </c>
      <c r="G96" s="42">
        <f t="shared" si="9"/>
        <v>39.275703686938279</v>
      </c>
    </row>
    <row r="97" spans="1:7">
      <c r="A97" s="17">
        <f>Data!A97</f>
        <v>56.566259658034852</v>
      </c>
      <c r="B97" s="18">
        <v>96</v>
      </c>
      <c r="C97" s="40">
        <f t="shared" si="5"/>
        <v>-9.1037437104250496E-3</v>
      </c>
      <c r="D97" s="17">
        <f t="shared" si="6"/>
        <v>41.079209448393961</v>
      </c>
      <c r="E97" s="41" t="str">
        <f t="shared" si="7"/>
        <v>Y = 0,000 * X + 39,313</v>
      </c>
      <c r="F97" s="17">
        <f t="shared" si="8"/>
        <v>39.2503901848102</v>
      </c>
      <c r="G97" s="42">
        <f t="shared" si="9"/>
        <v>39.275314248444005</v>
      </c>
    </row>
    <row r="98" spans="1:7">
      <c r="A98" s="17">
        <f>Data!A98</f>
        <v>28.99405499459353</v>
      </c>
      <c r="B98" s="18">
        <v>97</v>
      </c>
      <c r="C98" s="40">
        <f t="shared" si="5"/>
        <v>-4.9374565686268095E-3</v>
      </c>
      <c r="D98" s="17">
        <f t="shared" si="6"/>
        <v>40.250118307176116</v>
      </c>
      <c r="E98" s="41" t="str">
        <f t="shared" si="7"/>
        <v>Y = 0,000 * X + 39,313</v>
      </c>
      <c r="F98" s="17">
        <f t="shared" si="8"/>
        <v>39.2503901848102</v>
      </c>
      <c r="G98" s="42">
        <f t="shared" si="9"/>
        <v>39.274924809949724</v>
      </c>
    </row>
    <row r="99" spans="1:7">
      <c r="A99" s="17">
        <f>Data!A99</f>
        <v>65.066475376533305</v>
      </c>
      <c r="B99" s="18">
        <v>98</v>
      </c>
      <c r="C99" s="40">
        <f t="shared" si="5"/>
        <v>-7.7179338713682238E-3</v>
      </c>
      <c r="D99" s="17">
        <f t="shared" si="6"/>
        <v>40.804360116189237</v>
      </c>
      <c r="E99" s="41" t="str">
        <f t="shared" si="7"/>
        <v>Y = 0,000 * X + 39,313</v>
      </c>
      <c r="F99" s="17">
        <f t="shared" si="8"/>
        <v>39.2503901848102</v>
      </c>
      <c r="G99" s="42">
        <f t="shared" si="9"/>
        <v>39.27453537145545</v>
      </c>
    </row>
    <row r="100" spans="1:7">
      <c r="A100" s="17">
        <f>Data!A100</f>
        <v>18.915253251435615</v>
      </c>
      <c r="B100" s="18">
        <v>99</v>
      </c>
      <c r="C100" s="40">
        <f t="shared" si="5"/>
        <v>-1.1777266267521064E-3</v>
      </c>
      <c r="D100" s="17">
        <f t="shared" si="6"/>
        <v>39.49849873634755</v>
      </c>
      <c r="E100" s="41" t="str">
        <f t="shared" si="7"/>
        <v>Y = 0,000 * X + 39,313</v>
      </c>
      <c r="F100" s="17">
        <f t="shared" si="8"/>
        <v>39.2503901848102</v>
      </c>
      <c r="G100" s="42">
        <f t="shared" si="9"/>
        <v>39.274145932961169</v>
      </c>
    </row>
    <row r="101" spans="1:7">
      <c r="A101" s="17">
        <f>Data!A101</f>
        <v>32.771505529771254</v>
      </c>
      <c r="B101" s="18">
        <v>100</v>
      </c>
      <c r="C101" s="40">
        <f t="shared" si="5"/>
        <v>-6.5993559112192584E-3</v>
      </c>
      <c r="D101" s="17">
        <f t="shared" si="6"/>
        <v>40.582824593240979</v>
      </c>
      <c r="E101" s="41" t="str">
        <f t="shared" si="7"/>
        <v>Y = 0,000 * X + 39,313</v>
      </c>
      <c r="F101" s="17">
        <f t="shared" si="8"/>
        <v>39.2503901848102</v>
      </c>
      <c r="G101" s="42">
        <f t="shared" si="9"/>
        <v>39.273756494466888</v>
      </c>
    </row>
    <row r="102" spans="1:7">
      <c r="A102" s="17">
        <f>Data!A102</f>
        <v>26.777743839779195</v>
      </c>
      <c r="B102" s="18">
        <v>101</v>
      </c>
      <c r="C102" s="40">
        <f t="shared" si="5"/>
        <v>-8.5191904004401457E-3</v>
      </c>
      <c r="D102" s="17">
        <f t="shared" si="6"/>
        <v>40.967431435914904</v>
      </c>
      <c r="E102" s="41" t="str">
        <f t="shared" si="7"/>
        <v>Y = 0,000 * X + 39,313</v>
      </c>
      <c r="F102" s="17">
        <f t="shared" si="8"/>
        <v>39.2503901848102</v>
      </c>
      <c r="G102" s="42">
        <f t="shared" si="9"/>
        <v>39.273367055972614</v>
      </c>
    </row>
    <row r="103" spans="1:7">
      <c r="A103" s="17">
        <f>Data!A103</f>
        <v>55.402625506211088</v>
      </c>
      <c r="B103" s="18">
        <v>102</v>
      </c>
      <c r="C103" s="40">
        <f t="shared" si="5"/>
        <v>-1.2145868080203773E-2</v>
      </c>
      <c r="D103" s="17">
        <f t="shared" si="6"/>
        <v>41.695184756987466</v>
      </c>
      <c r="E103" s="41" t="str">
        <f t="shared" si="7"/>
        <v>Y = 0,000 * X + 39,313</v>
      </c>
      <c r="F103" s="17">
        <f t="shared" si="8"/>
        <v>39.2503901848102</v>
      </c>
      <c r="G103" s="42">
        <f t="shared" si="9"/>
        <v>39.272977617478332</v>
      </c>
    </row>
    <row r="104" spans="1:7">
      <c r="A104" s="17">
        <f>Data!A104</f>
        <v>38.317191165662869</v>
      </c>
      <c r="B104" s="18">
        <v>103</v>
      </c>
      <c r="C104" s="40">
        <f t="shared" si="5"/>
        <v>-8.0238826159444131E-3</v>
      </c>
      <c r="D104" s="17">
        <f t="shared" si="6"/>
        <v>40.866665678671332</v>
      </c>
      <c r="E104" s="41" t="str">
        <f t="shared" si="7"/>
        <v>Y = 0,000 * X + 39,313</v>
      </c>
      <c r="F104" s="17">
        <f t="shared" si="8"/>
        <v>39.2503901848102</v>
      </c>
      <c r="G104" s="42">
        <f t="shared" si="9"/>
        <v>39.272588178984059</v>
      </c>
    </row>
    <row r="105" spans="1:7">
      <c r="A105" s="17">
        <f>Data!A105</f>
        <v>50.369456437073111</v>
      </c>
      <c r="B105" s="18">
        <v>104</v>
      </c>
      <c r="C105" s="40">
        <f t="shared" si="5"/>
        <v>-8.5055752644113362E-3</v>
      </c>
      <c r="D105" s="17">
        <f t="shared" si="6"/>
        <v>40.963646465229345</v>
      </c>
      <c r="E105" s="41" t="str">
        <f t="shared" si="7"/>
        <v>Y = 0,000 * X + 39,313</v>
      </c>
      <c r="F105" s="17">
        <f t="shared" si="8"/>
        <v>39.2503901848102</v>
      </c>
      <c r="G105" s="42">
        <f t="shared" si="9"/>
        <v>39.272198740489777</v>
      </c>
    </row>
    <row r="106" spans="1:7">
      <c r="A106" s="17">
        <f>Data!A106</f>
        <v>48.435043835255634</v>
      </c>
      <c r="B106" s="18">
        <v>105</v>
      </c>
      <c r="C106" s="40">
        <f t="shared" si="5"/>
        <v>-5.5890736679987179E-3</v>
      </c>
      <c r="D106" s="17">
        <f t="shared" si="6"/>
        <v>40.375485309952801</v>
      </c>
      <c r="E106" s="41" t="str">
        <f t="shared" si="7"/>
        <v>Y = 0,000 * X + 39,313</v>
      </c>
      <c r="F106" s="17">
        <f t="shared" si="8"/>
        <v>39.2503901848102</v>
      </c>
      <c r="G106" s="42">
        <f t="shared" si="9"/>
        <v>39.271809301995496</v>
      </c>
    </row>
    <row r="107" spans="1:7">
      <c r="A107" s="17">
        <f>Data!A107</f>
        <v>23.398415162048963</v>
      </c>
      <c r="B107" s="18">
        <v>106</v>
      </c>
      <c r="C107" s="40">
        <f t="shared" si="5"/>
        <v>-3.1044727310898779E-3</v>
      </c>
      <c r="D107" s="17">
        <f t="shared" si="6"/>
        <v>39.873595920697213</v>
      </c>
      <c r="E107" s="41" t="str">
        <f t="shared" si="7"/>
        <v>Y = 0,000 * X + 39,313</v>
      </c>
      <c r="F107" s="17">
        <f t="shared" si="8"/>
        <v>39.2503901848102</v>
      </c>
      <c r="G107" s="42">
        <f t="shared" si="9"/>
        <v>39.271419863501222</v>
      </c>
    </row>
    <row r="108" spans="1:7">
      <c r="A108" s="17">
        <f>Data!A108</f>
        <v>32.839094026228345</v>
      </c>
      <c r="B108" s="18">
        <v>107</v>
      </c>
      <c r="C108" s="40">
        <f t="shared" si="5"/>
        <v>-7.8090492605632847E-3</v>
      </c>
      <c r="D108" s="17">
        <f t="shared" si="6"/>
        <v>40.825488571827329</v>
      </c>
      <c r="E108" s="41" t="str">
        <f t="shared" si="7"/>
        <v>Y = 0,000 * X + 39,313</v>
      </c>
      <c r="F108" s="17">
        <f t="shared" si="8"/>
        <v>39.2503901848102</v>
      </c>
      <c r="G108" s="42">
        <f t="shared" si="9"/>
        <v>39.271030425006941</v>
      </c>
    </row>
    <row r="109" spans="1:7">
      <c r="A109" s="17">
        <f>Data!A109</f>
        <v>42.272425544894745</v>
      </c>
      <c r="B109" s="18">
        <v>108</v>
      </c>
      <c r="C109" s="40">
        <f t="shared" si="5"/>
        <v>-9.9219694638683353E-3</v>
      </c>
      <c r="D109" s="17">
        <f t="shared" si="6"/>
        <v>41.253707066363816</v>
      </c>
      <c r="E109" s="41" t="str">
        <f t="shared" si="7"/>
        <v>Y = 0,000 * X + 39,313</v>
      </c>
      <c r="F109" s="17">
        <f t="shared" si="8"/>
        <v>39.2503901848102</v>
      </c>
      <c r="G109" s="42">
        <f t="shared" si="9"/>
        <v>39.270640986512667</v>
      </c>
    </row>
    <row r="110" spans="1:7">
      <c r="A110" s="17">
        <f>Data!A110</f>
        <v>28.638854134174654</v>
      </c>
      <c r="B110" s="18">
        <v>109</v>
      </c>
      <c r="C110" s="40">
        <f t="shared" si="5"/>
        <v>-9.295571147827357E-3</v>
      </c>
      <c r="D110" s="17">
        <f t="shared" si="6"/>
        <v>41.126548208207502</v>
      </c>
      <c r="E110" s="41" t="str">
        <f t="shared" si="7"/>
        <v>Y = 0,000 * X + 39,313</v>
      </c>
      <c r="F110" s="17">
        <f t="shared" si="8"/>
        <v>39.2503901848102</v>
      </c>
      <c r="G110" s="42">
        <f t="shared" si="9"/>
        <v>39.270251548018386</v>
      </c>
    </row>
    <row r="111" spans="1:7">
      <c r="A111" s="17">
        <f>Data!A111</f>
        <v>35.854143084637307</v>
      </c>
      <c r="B111" s="18">
        <v>110</v>
      </c>
      <c r="C111" s="40">
        <f t="shared" si="5"/>
        <v>-1.2783254071511143E-2</v>
      </c>
      <c r="D111" s="17">
        <f t="shared" si="6"/>
        <v>41.83571040268987</v>
      </c>
      <c r="E111" s="41" t="str">
        <f t="shared" si="7"/>
        <v>Y = 0,000 * X + 39,313</v>
      </c>
      <c r="F111" s="17">
        <f t="shared" si="8"/>
        <v>39.2503901848102</v>
      </c>
      <c r="G111" s="42">
        <f t="shared" si="9"/>
        <v>39.269862109524112</v>
      </c>
    </row>
    <row r="112" spans="1:7">
      <c r="A112" s="17">
        <f>Data!A112</f>
        <v>28.320932958331461</v>
      </c>
      <c r="B112" s="18">
        <v>111</v>
      </c>
      <c r="C112" s="40">
        <f t="shared" si="5"/>
        <v>-1.4193966107539828E-2</v>
      </c>
      <c r="D112" s="17">
        <f t="shared" si="6"/>
        <v>42.123025420694383</v>
      </c>
      <c r="E112" s="41" t="str">
        <f t="shared" si="7"/>
        <v>Y = 0,000 * X + 39,313</v>
      </c>
      <c r="F112" s="17">
        <f t="shared" si="8"/>
        <v>39.2503901848102</v>
      </c>
      <c r="G112" s="42">
        <f t="shared" si="9"/>
        <v>39.269472671029831</v>
      </c>
    </row>
    <row r="113" spans="1:7">
      <c r="A113" s="17">
        <f>Data!A113</f>
        <v>38.236212181407666</v>
      </c>
      <c r="B113" s="18">
        <v>112</v>
      </c>
      <c r="C113" s="40">
        <f t="shared" si="5"/>
        <v>-1.8018352164601441E-2</v>
      </c>
      <c r="D113" s="17">
        <f t="shared" si="6"/>
        <v>42.903200176334948</v>
      </c>
      <c r="E113" s="41" t="str">
        <f t="shared" si="7"/>
        <v>Y = 0,000 * X + 39,313</v>
      </c>
      <c r="F113" s="17">
        <f t="shared" si="8"/>
        <v>39.2503901848102</v>
      </c>
      <c r="G113" s="42">
        <f t="shared" si="9"/>
        <v>39.26908323253555</v>
      </c>
    </row>
    <row r="114" spans="1:7">
      <c r="A114" s="17">
        <f>Data!A114</f>
        <v>19.775176766736994</v>
      </c>
      <c r="B114" s="18">
        <v>113</v>
      </c>
      <c r="C114" s="40">
        <f t="shared" si="5"/>
        <v>-1.8859016256157119E-2</v>
      </c>
      <c r="D114" s="17">
        <f t="shared" si="6"/>
        <v>43.074975872376157</v>
      </c>
      <c r="E114" s="41" t="str">
        <f t="shared" si="7"/>
        <v>Y = 0,000 * X + 39,313</v>
      </c>
      <c r="F114" s="17">
        <f t="shared" si="8"/>
        <v>39.2503901848102</v>
      </c>
      <c r="G114" s="42">
        <f t="shared" si="9"/>
        <v>39.268693794041276</v>
      </c>
    </row>
    <row r="115" spans="1:7">
      <c r="A115" s="17">
        <f>Data!A115</f>
        <v>36.110107146272476</v>
      </c>
      <c r="B115" s="18">
        <v>114</v>
      </c>
      <c r="C115" s="40">
        <f t="shared" si="5"/>
        <v>-2.5675910932636319E-2</v>
      </c>
      <c r="D115" s="17">
        <f t="shared" si="6"/>
        <v>44.4701669828289</v>
      </c>
      <c r="E115" s="41" t="str">
        <f t="shared" si="7"/>
        <v>Y = 0,000 * X + 39,313</v>
      </c>
      <c r="F115" s="17">
        <f t="shared" si="8"/>
        <v>39.2503901848102</v>
      </c>
      <c r="G115" s="42">
        <f t="shared" si="9"/>
        <v>39.268304355546995</v>
      </c>
    </row>
    <row r="116" spans="1:7">
      <c r="A116" s="17">
        <f>Data!A116</f>
        <v>41.238363822278494</v>
      </c>
      <c r="B116" s="18">
        <v>115</v>
      </c>
      <c r="C116" s="40">
        <f t="shared" si="5"/>
        <v>-2.7451403086308168E-2</v>
      </c>
      <c r="D116" s="17">
        <f t="shared" si="6"/>
        <v>44.834142874331633</v>
      </c>
      <c r="E116" s="41" t="str">
        <f t="shared" si="7"/>
        <v>Y = 0,000 * X + 39,313</v>
      </c>
      <c r="F116" s="17">
        <f t="shared" si="8"/>
        <v>39.2503901848102</v>
      </c>
      <c r="G116" s="42">
        <f t="shared" si="9"/>
        <v>39.267914917052721</v>
      </c>
    </row>
    <row r="117" spans="1:7">
      <c r="A117" s="17">
        <f>Data!A117</f>
        <v>29.572446009947051</v>
      </c>
      <c r="B117" s="18">
        <v>116</v>
      </c>
      <c r="C117" s="40">
        <f t="shared" si="5"/>
        <v>-2.7596964511557808E-2</v>
      </c>
      <c r="D117" s="17">
        <f t="shared" si="6"/>
        <v>44.864031486982888</v>
      </c>
      <c r="E117" s="41" t="str">
        <f t="shared" si="7"/>
        <v>Y = 0,000 * X + 39,313</v>
      </c>
      <c r="F117" s="17">
        <f t="shared" si="8"/>
        <v>39.2503901848102</v>
      </c>
      <c r="G117" s="42">
        <f t="shared" si="9"/>
        <v>39.26752547855844</v>
      </c>
    </row>
    <row r="118" spans="1:7">
      <c r="A118" s="17">
        <f>Data!A118</f>
        <v>25.17540891846263</v>
      </c>
      <c r="B118" s="18">
        <v>117</v>
      </c>
      <c r="C118" s="40">
        <f t="shared" si="5"/>
        <v>-3.1667328419209634E-2</v>
      </c>
      <c r="D118" s="17">
        <f t="shared" si="6"/>
        <v>45.701169663989958</v>
      </c>
      <c r="E118" s="41" t="str">
        <f t="shared" si="7"/>
        <v>Y = 0,000 * X + 39,313</v>
      </c>
      <c r="F118" s="17">
        <f t="shared" si="8"/>
        <v>39.2503901848102</v>
      </c>
      <c r="G118" s="42">
        <f t="shared" si="9"/>
        <v>39.267136040064159</v>
      </c>
    </row>
    <row r="119" spans="1:7">
      <c r="A119" s="17">
        <f>Data!A119</f>
        <v>38.593635377924819</v>
      </c>
      <c r="B119" s="18">
        <v>118</v>
      </c>
      <c r="C119" s="40">
        <f t="shared" si="5"/>
        <v>-3.7416024017459727E-2</v>
      </c>
      <c r="D119" s="17">
        <f t="shared" si="6"/>
        <v>46.885400957229486</v>
      </c>
      <c r="E119" s="41" t="str">
        <f t="shared" si="7"/>
        <v>Y = 0,000 * X + 39,313</v>
      </c>
      <c r="F119" s="17">
        <f t="shared" si="8"/>
        <v>39.2503901848102</v>
      </c>
      <c r="G119" s="42">
        <f t="shared" si="9"/>
        <v>39.266746601569885</v>
      </c>
    </row>
    <row r="120" spans="1:7">
      <c r="A120" s="17">
        <f>Data!A120</f>
        <v>36.378127991750183</v>
      </c>
      <c r="B120" s="18">
        <v>119</v>
      </c>
      <c r="C120" s="40">
        <f t="shared" si="5"/>
        <v>-3.8761157516850546E-2</v>
      </c>
      <c r="D120" s="17">
        <f t="shared" si="6"/>
        <v>47.162946835937106</v>
      </c>
      <c r="E120" s="41" t="str">
        <f t="shared" si="7"/>
        <v>Y = 0,000 * X + 39,313</v>
      </c>
      <c r="F120" s="17">
        <f t="shared" si="8"/>
        <v>39.2503901848102</v>
      </c>
      <c r="G120" s="42">
        <f t="shared" si="9"/>
        <v>39.266357163075604</v>
      </c>
    </row>
    <row r="121" spans="1:7">
      <c r="A121" s="17">
        <f>Data!A121</f>
        <v>49.224365029610887</v>
      </c>
      <c r="B121" s="18">
        <v>120</v>
      </c>
      <c r="C121" s="40">
        <f t="shared" si="5"/>
        <v>-4.0935758021729621E-2</v>
      </c>
      <c r="D121" s="17">
        <f t="shared" si="6"/>
        <v>47.612364273612116</v>
      </c>
      <c r="E121" s="41" t="str">
        <f t="shared" si="7"/>
        <v>Y = 0,000 * X + 39,313</v>
      </c>
      <c r="F121" s="17">
        <f t="shared" si="8"/>
        <v>39.2503901848102</v>
      </c>
      <c r="G121" s="42">
        <f t="shared" si="9"/>
        <v>39.26596772458133</v>
      </c>
    </row>
    <row r="122" spans="1:7">
      <c r="A122" s="17">
        <f>Data!A122</f>
        <v>39.513246438038173</v>
      </c>
      <c r="B122" s="18">
        <v>121</v>
      </c>
      <c r="C122" s="40">
        <f t="shared" si="5"/>
        <v>-3.8601485492711245E-2</v>
      </c>
      <c r="D122" s="17">
        <f t="shared" si="6"/>
        <v>47.129169860105307</v>
      </c>
      <c r="E122" s="41" t="str">
        <f t="shared" si="7"/>
        <v>Y = 0,000 * X + 39,313</v>
      </c>
      <c r="F122" s="17">
        <f t="shared" si="8"/>
        <v>39.2503901848102</v>
      </c>
      <c r="G122" s="42">
        <f t="shared" si="9"/>
        <v>39.265578286087049</v>
      </c>
    </row>
    <row r="123" spans="1:7">
      <c r="A123" s="17">
        <f>Data!A123</f>
        <v>48.665996124496175</v>
      </c>
      <c r="B123" s="18">
        <v>122</v>
      </c>
      <c r="C123" s="40">
        <f t="shared" si="5"/>
        <v>-3.9671668515040129E-2</v>
      </c>
      <c r="D123" s="17">
        <f t="shared" si="6"/>
        <v>47.35105447340149</v>
      </c>
      <c r="E123" s="41" t="str">
        <f t="shared" si="7"/>
        <v>Y = 0,000 * X + 39,313</v>
      </c>
      <c r="F123" s="17">
        <f t="shared" si="8"/>
        <v>39.2503901848102</v>
      </c>
      <c r="G123" s="42">
        <f t="shared" si="9"/>
        <v>39.265188847592768</v>
      </c>
    </row>
    <row r="124" spans="1:7">
      <c r="A124" s="17">
        <f>Data!A124</f>
        <v>38.813568571332006</v>
      </c>
      <c r="B124" s="18">
        <v>123</v>
      </c>
      <c r="C124" s="40">
        <f t="shared" si="5"/>
        <v>-3.7399934308619272E-2</v>
      </c>
      <c r="D124" s="17">
        <f t="shared" si="6"/>
        <v>46.879291003201423</v>
      </c>
      <c r="E124" s="41" t="str">
        <f t="shared" si="7"/>
        <v>Y = 0,000 * X + 39,313</v>
      </c>
      <c r="F124" s="17">
        <f t="shared" si="8"/>
        <v>39.2503901848102</v>
      </c>
      <c r="G124" s="42">
        <f t="shared" si="9"/>
        <v>39.264799409098494</v>
      </c>
    </row>
    <row r="125" spans="1:7">
      <c r="A125" s="17">
        <f>Data!A125</f>
        <v>60.436193895085857</v>
      </c>
      <c r="B125" s="18">
        <v>124</v>
      </c>
      <c r="C125" s="40">
        <f t="shared" si="5"/>
        <v>-3.8699345824145796E-2</v>
      </c>
      <c r="D125" s="17">
        <f t="shared" si="6"/>
        <v>47.149568598430946</v>
      </c>
      <c r="E125" s="41" t="str">
        <f t="shared" si="7"/>
        <v>Y = 0,000 * X + 39,313</v>
      </c>
      <c r="F125" s="17">
        <f t="shared" si="8"/>
        <v>39.2503901848102</v>
      </c>
      <c r="G125" s="42">
        <f t="shared" si="9"/>
        <v>39.264409970604213</v>
      </c>
    </row>
    <row r="126" spans="1:7">
      <c r="A126" s="17">
        <f>Data!A126</f>
        <v>38.551777744875942</v>
      </c>
      <c r="B126" s="18">
        <v>125</v>
      </c>
      <c r="C126" s="40">
        <f t="shared" si="5"/>
        <v>-3.1809690898870008E-2</v>
      </c>
      <c r="D126" s="17">
        <f t="shared" si="6"/>
        <v>45.71422382233181</v>
      </c>
      <c r="E126" s="41" t="str">
        <f t="shared" si="7"/>
        <v>Y = 0,000 * X + 39,313</v>
      </c>
      <c r="F126" s="17">
        <f t="shared" si="8"/>
        <v>39.2503901848102</v>
      </c>
      <c r="G126" s="42">
        <f t="shared" si="9"/>
        <v>39.264020532109939</v>
      </c>
    </row>
    <row r="127" spans="1:7">
      <c r="A127" s="17">
        <f>Data!A127</f>
        <v>57.696480106041513</v>
      </c>
      <c r="B127" s="18">
        <v>126</v>
      </c>
      <c r="C127" s="40">
        <f t="shared" si="5"/>
        <v>-3.3043072078907575E-2</v>
      </c>
      <c r="D127" s="17">
        <f t="shared" si="6"/>
        <v>45.97158936189966</v>
      </c>
      <c r="E127" s="41" t="str">
        <f t="shared" si="7"/>
        <v>Y = 0,000 * X + 39,313</v>
      </c>
      <c r="F127" s="17">
        <f t="shared" si="8"/>
        <v>39.2503901848102</v>
      </c>
      <c r="G127" s="42">
        <f t="shared" si="9"/>
        <v>39.263631093615658</v>
      </c>
    </row>
    <row r="128" spans="1:7">
      <c r="A128" s="17">
        <f>Data!A128</f>
        <v>50.652509690743997</v>
      </c>
      <c r="B128" s="18">
        <v>127</v>
      </c>
      <c r="C128" s="40">
        <f t="shared" si="5"/>
        <v>-2.679275035346141E-2</v>
      </c>
      <c r="D128" s="17">
        <f t="shared" si="6"/>
        <v>44.665272121281411</v>
      </c>
      <c r="E128" s="41" t="str">
        <f t="shared" si="7"/>
        <v>Y = 0,000 * X + 39,313</v>
      </c>
      <c r="F128" s="17">
        <f t="shared" si="8"/>
        <v>39.2503901848102</v>
      </c>
      <c r="G128" s="42">
        <f t="shared" si="9"/>
        <v>39.263241655121384</v>
      </c>
    </row>
    <row r="129" spans="1:7">
      <c r="A129" s="17">
        <f>Data!A129</f>
        <v>38.606191025374812</v>
      </c>
      <c r="B129" s="18">
        <v>128</v>
      </c>
      <c r="C129" s="40">
        <f t="shared" si="5"/>
        <v>-2.3038285393704439E-2</v>
      </c>
      <c r="D129" s="17">
        <f t="shared" si="6"/>
        <v>43.879337456372276</v>
      </c>
      <c r="E129" s="41" t="str">
        <f t="shared" si="7"/>
        <v>Y = 0,000 * X + 39,313</v>
      </c>
      <c r="F129" s="17">
        <f t="shared" si="8"/>
        <v>39.2503901848102</v>
      </c>
      <c r="G129" s="42">
        <f t="shared" si="9"/>
        <v>39.262852216627103</v>
      </c>
    </row>
    <row r="130" spans="1:7">
      <c r="A130" s="17">
        <f>Data!A130</f>
        <v>24.760682532116807</v>
      </c>
      <c r="B130" s="18">
        <v>129</v>
      </c>
      <c r="C130" s="40">
        <f t="shared" ref="C130:C193" si="10">SLOPE(A130:A379,B130:B379)</f>
        <v>-2.398297279403095E-2</v>
      </c>
      <c r="D130" s="17">
        <f t="shared" ref="D130:D193" si="11">INTERCEPT(A130:A379,B130:B379)</f>
        <v>44.077406914640733</v>
      </c>
      <c r="E130" s="41" t="str">
        <f t="shared" ref="E130:E193" si="12">"Y = " &amp; TEXT($C$2,"0,000") &amp; " * X + " &amp; TEXT($D$2,"0,000")</f>
        <v>Y = 0,000 * X + 39,313</v>
      </c>
      <c r="F130" s="17">
        <f t="shared" ref="F130:F193" si="13">$C$2*160 + $D$2</f>
        <v>39.2503901848102</v>
      </c>
      <c r="G130" s="42">
        <f t="shared" si="9"/>
        <v>39.262462778132821</v>
      </c>
    </row>
    <row r="131" spans="1:7">
      <c r="A131" s="17">
        <f>Data!A131</f>
        <v>55.247339594876237</v>
      </c>
      <c r="B131" s="18">
        <v>130</v>
      </c>
      <c r="C131" s="40">
        <f t="shared" si="10"/>
        <v>-3.0686659113078007E-2</v>
      </c>
      <c r="D131" s="17">
        <f t="shared" si="11"/>
        <v>45.485181041640615</v>
      </c>
      <c r="E131" s="41" t="str">
        <f t="shared" si="12"/>
        <v>Y = 0,000 * X + 39,313</v>
      </c>
      <c r="F131" s="17">
        <f t="shared" si="13"/>
        <v>39.2503901848102</v>
      </c>
      <c r="G131" s="42">
        <f t="shared" ref="G131:G194" si="14">$C$2*B131 + $D$2</f>
        <v>39.262073339638548</v>
      </c>
    </row>
    <row r="132" spans="1:7">
      <c r="A132" s="17">
        <f>Data!A132</f>
        <v>32.855402349156208</v>
      </c>
      <c r="B132" s="18">
        <v>131</v>
      </c>
      <c r="C132" s="40">
        <f t="shared" si="10"/>
        <v>-2.4908749769407559E-2</v>
      </c>
      <c r="D132" s="17">
        <f t="shared" si="11"/>
        <v>44.269894109688586</v>
      </c>
      <c r="E132" s="41" t="str">
        <f t="shared" si="12"/>
        <v>Y = 0,000 * X + 39,313</v>
      </c>
      <c r="F132" s="17">
        <f t="shared" si="13"/>
        <v>39.2503901848102</v>
      </c>
      <c r="G132" s="42">
        <f t="shared" si="14"/>
        <v>39.261683901144266</v>
      </c>
    </row>
    <row r="133" spans="1:7">
      <c r="A133" s="17">
        <f>Data!A133</f>
        <v>17.516341486154023</v>
      </c>
      <c r="B133" s="18">
        <v>132</v>
      </c>
      <c r="C133" s="40">
        <f t="shared" si="10"/>
        <v>-2.8391777346991935E-2</v>
      </c>
      <c r="D133" s="17">
        <f t="shared" si="11"/>
        <v>45.003651919366362</v>
      </c>
      <c r="E133" s="41" t="str">
        <f t="shared" si="12"/>
        <v>Y = 0,000 * X + 39,313</v>
      </c>
      <c r="F133" s="17">
        <f t="shared" si="13"/>
        <v>39.2503901848102</v>
      </c>
      <c r="G133" s="42">
        <f t="shared" si="14"/>
        <v>39.261294462649992</v>
      </c>
    </row>
    <row r="134" spans="1:7">
      <c r="A134" s="17">
        <f>Data!A134</f>
        <v>42.095270478915005</v>
      </c>
      <c r="B134" s="18">
        <v>133</v>
      </c>
      <c r="C134" s="40">
        <f t="shared" si="10"/>
        <v>-3.8708855062511038E-2</v>
      </c>
      <c r="D134" s="17">
        <f t="shared" si="11"/>
        <v>47.180555317340897</v>
      </c>
      <c r="E134" s="41" t="str">
        <f t="shared" si="12"/>
        <v>Y = 0,000 * X + 39,313</v>
      </c>
      <c r="F134" s="17">
        <f t="shared" si="13"/>
        <v>39.2503901848102</v>
      </c>
      <c r="G134" s="42">
        <f t="shared" si="14"/>
        <v>39.260905024155711</v>
      </c>
    </row>
    <row r="135" spans="1:7">
      <c r="A135" s="17">
        <f>Data!A135</f>
        <v>51.776546153798598</v>
      </c>
      <c r="B135" s="18">
        <v>134</v>
      </c>
      <c r="C135" s="40">
        <f t="shared" si="10"/>
        <v>-3.8681006749121088E-2</v>
      </c>
      <c r="D135" s="17">
        <f t="shared" si="11"/>
        <v>47.174670040444489</v>
      </c>
      <c r="E135" s="41" t="str">
        <f t="shared" si="12"/>
        <v>Y = 0,000 * X + 39,313</v>
      </c>
      <c r="F135" s="17">
        <f t="shared" si="13"/>
        <v>39.2503901848102</v>
      </c>
      <c r="G135" s="42">
        <f t="shared" si="14"/>
        <v>39.26051558566143</v>
      </c>
    </row>
    <row r="136" spans="1:7">
      <c r="A136" s="17">
        <f>Data!A136</f>
        <v>39.078308454519636</v>
      </c>
      <c r="B136" s="18">
        <v>135</v>
      </c>
      <c r="C136" s="40">
        <f t="shared" si="10"/>
        <v>-3.4279898345341633E-2</v>
      </c>
      <c r="D136" s="17">
        <f t="shared" si="11"/>
        <v>46.24310209497785</v>
      </c>
      <c r="E136" s="41" t="str">
        <f t="shared" si="12"/>
        <v>Y = 0,000 * X + 39,313</v>
      </c>
      <c r="F136" s="17">
        <f t="shared" si="13"/>
        <v>39.2503901848102</v>
      </c>
      <c r="G136" s="42">
        <f t="shared" si="14"/>
        <v>39.260126147167156</v>
      </c>
    </row>
    <row r="137" spans="1:7">
      <c r="A137" s="17">
        <f>Data!A137</f>
        <v>33.816578964656877</v>
      </c>
      <c r="B137" s="18">
        <v>136</v>
      </c>
      <c r="C137" s="40">
        <f t="shared" si="10"/>
        <v>-3.5441000113688143E-2</v>
      </c>
      <c r="D137" s="17">
        <f t="shared" si="11"/>
        <v>46.489255669867305</v>
      </c>
      <c r="E137" s="41" t="str">
        <f t="shared" si="12"/>
        <v>Y = 0,000 * X + 39,313</v>
      </c>
      <c r="F137" s="17">
        <f t="shared" si="13"/>
        <v>39.2503901848102</v>
      </c>
      <c r="G137" s="42">
        <f t="shared" si="14"/>
        <v>39.259736708672875</v>
      </c>
    </row>
    <row r="138" spans="1:7">
      <c r="A138" s="17">
        <f>Data!A138</f>
        <v>34.549766899381908</v>
      </c>
      <c r="B138" s="18">
        <v>137</v>
      </c>
      <c r="C138" s="40">
        <f t="shared" si="10"/>
        <v>-3.9098522558843621E-2</v>
      </c>
      <c r="D138" s="17">
        <f t="shared" si="11"/>
        <v>47.265869602388648</v>
      </c>
      <c r="E138" s="41" t="str">
        <f t="shared" si="12"/>
        <v>Y = 0,000 * X + 39,313</v>
      </c>
      <c r="F138" s="17">
        <f t="shared" si="13"/>
        <v>39.2503901848102</v>
      </c>
      <c r="G138" s="42">
        <f t="shared" si="14"/>
        <v>39.259347270178601</v>
      </c>
    </row>
    <row r="139" spans="1:7">
      <c r="A139" s="17">
        <f>Data!A139</f>
        <v>45.701794310734954</v>
      </c>
      <c r="B139" s="18">
        <v>138</v>
      </c>
      <c r="C139" s="40">
        <f t="shared" si="10"/>
        <v>-4.2587589457916894E-2</v>
      </c>
      <c r="D139" s="17">
        <f t="shared" si="11"/>
        <v>48.007877829591571</v>
      </c>
      <c r="E139" s="41" t="str">
        <f t="shared" si="12"/>
        <v>Y = 0,000 * X + 39,313</v>
      </c>
      <c r="F139" s="17">
        <f t="shared" si="13"/>
        <v>39.2503901848102</v>
      </c>
      <c r="G139" s="42">
        <f t="shared" si="14"/>
        <v>39.25895783168432</v>
      </c>
    </row>
    <row r="140" spans="1:7">
      <c r="A140" s="17">
        <f>Data!A140</f>
        <v>17.06333419885253</v>
      </c>
      <c r="B140" s="18">
        <v>139</v>
      </c>
      <c r="C140" s="40">
        <f t="shared" si="10"/>
        <v>-4.0864132012774078E-2</v>
      </c>
      <c r="D140" s="17">
        <f t="shared" si="11"/>
        <v>47.640781393776152</v>
      </c>
      <c r="E140" s="41" t="str">
        <f t="shared" si="12"/>
        <v>Y = 0,000 * X + 39,313</v>
      </c>
      <c r="F140" s="17">
        <f t="shared" si="13"/>
        <v>39.2503901848102</v>
      </c>
      <c r="G140" s="42">
        <f t="shared" si="14"/>
        <v>39.258568393190046</v>
      </c>
    </row>
    <row r="141" spans="1:7">
      <c r="A141" s="17">
        <f>Data!A141</f>
        <v>32.357756807515116</v>
      </c>
      <c r="B141" s="18">
        <v>140</v>
      </c>
      <c r="C141" s="40">
        <f t="shared" si="10"/>
        <v>-5.3098693607441419E-2</v>
      </c>
      <c r="D141" s="17">
        <f t="shared" si="11"/>
        <v>50.250821200638512</v>
      </c>
      <c r="E141" s="41" t="str">
        <f t="shared" si="12"/>
        <v>Y = 0,000 * X + 39,313</v>
      </c>
      <c r="F141" s="17">
        <f t="shared" si="13"/>
        <v>39.2503901848102</v>
      </c>
      <c r="G141" s="42">
        <f t="shared" si="14"/>
        <v>39.258178954695765</v>
      </c>
    </row>
    <row r="142" spans="1:7">
      <c r="A142" s="17">
        <f>Data!A142</f>
        <v>40.984350557352116</v>
      </c>
      <c r="B142" s="18">
        <v>141</v>
      </c>
      <c r="C142" s="40">
        <f t="shared" si="10"/>
        <v>-5.8332678905897592E-2</v>
      </c>
      <c r="D142" s="17">
        <f t="shared" si="11"/>
        <v>51.369149392741988</v>
      </c>
      <c r="E142" s="41" t="str">
        <f t="shared" si="12"/>
        <v>Y = 0,000 * X + 39,313</v>
      </c>
      <c r="F142" s="17">
        <f t="shared" si="13"/>
        <v>39.2503901848102</v>
      </c>
      <c r="G142" s="42">
        <f t="shared" si="14"/>
        <v>39.257789516201484</v>
      </c>
    </row>
    <row r="143" spans="1:7">
      <c r="A143" s="17">
        <f>Data!A143</f>
        <v>43.395203871310869</v>
      </c>
      <c r="B143" s="18">
        <v>142</v>
      </c>
      <c r="C143" s="40">
        <f t="shared" si="10"/>
        <v>-5.9433540837425788E-2</v>
      </c>
      <c r="D143" s="17">
        <f t="shared" si="11"/>
        <v>51.604733846089019</v>
      </c>
      <c r="E143" s="41" t="str">
        <f t="shared" si="12"/>
        <v>Y = 0,000 * X + 39,313</v>
      </c>
      <c r="F143" s="17">
        <f t="shared" si="13"/>
        <v>39.2503901848102</v>
      </c>
      <c r="G143" s="42">
        <f t="shared" si="14"/>
        <v>39.25740007770721</v>
      </c>
    </row>
    <row r="144" spans="1:7">
      <c r="A144" s="17">
        <f>Data!A144</f>
        <v>26.617579956808669</v>
      </c>
      <c r="B144" s="18">
        <v>143</v>
      </c>
      <c r="C144" s="40">
        <f t="shared" si="10"/>
        <v>-5.9314105310875262E-2</v>
      </c>
      <c r="D144" s="17">
        <f t="shared" si="11"/>
        <v>51.579134831565014</v>
      </c>
      <c r="E144" s="41" t="str">
        <f t="shared" si="12"/>
        <v>Y = 0,000 * X + 39,313</v>
      </c>
      <c r="F144" s="17">
        <f t="shared" si="13"/>
        <v>39.2503901848102</v>
      </c>
      <c r="G144" s="42">
        <f t="shared" si="14"/>
        <v>39.257010639212929</v>
      </c>
    </row>
    <row r="145" spans="1:7">
      <c r="A145" s="17">
        <f>Data!A145</f>
        <v>48.646368715722048</v>
      </c>
      <c r="B145" s="18">
        <v>144</v>
      </c>
      <c r="C145" s="40">
        <f t="shared" si="10"/>
        <v>-6.8031952859086073E-2</v>
      </c>
      <c r="D145" s="17">
        <f t="shared" si="11"/>
        <v>53.450566105247603</v>
      </c>
      <c r="E145" s="41" t="str">
        <f t="shared" si="12"/>
        <v>Y = 0,000 * X + 39,313</v>
      </c>
      <c r="F145" s="17">
        <f t="shared" si="13"/>
        <v>39.2503901848102</v>
      </c>
      <c r="G145" s="42">
        <f t="shared" si="14"/>
        <v>39.256621200718655</v>
      </c>
    </row>
    <row r="146" spans="1:7">
      <c r="A146" s="17">
        <f>Data!A146</f>
        <v>43.293775383914131</v>
      </c>
      <c r="B146" s="18">
        <v>145</v>
      </c>
      <c r="C146" s="40">
        <f t="shared" si="10"/>
        <v>-6.5340630043893191E-2</v>
      </c>
      <c r="D146" s="17">
        <f t="shared" si="11"/>
        <v>52.871931699981126</v>
      </c>
      <c r="E146" s="41" t="str">
        <f t="shared" si="12"/>
        <v>Y = 0,000 * X + 39,313</v>
      </c>
      <c r="F146" s="17">
        <f t="shared" si="13"/>
        <v>39.2503901848102</v>
      </c>
      <c r="G146" s="42">
        <f t="shared" si="14"/>
        <v>39.256231762224374</v>
      </c>
    </row>
    <row r="147" spans="1:7">
      <c r="A147" s="17">
        <f>Data!A147</f>
        <v>43.493644677188165</v>
      </c>
      <c r="B147" s="18">
        <v>146</v>
      </c>
      <c r="C147" s="40">
        <f t="shared" si="10"/>
        <v>-6.5397643758015489E-2</v>
      </c>
      <c r="D147" s="17">
        <f t="shared" si="11"/>
        <v>52.884208653088805</v>
      </c>
      <c r="E147" s="41" t="str">
        <f t="shared" si="12"/>
        <v>Y = 0,000 * X + 39,313</v>
      </c>
      <c r="F147" s="17">
        <f t="shared" si="13"/>
        <v>39.2503901848102</v>
      </c>
      <c r="G147" s="42">
        <f t="shared" si="14"/>
        <v>39.255842323730093</v>
      </c>
    </row>
    <row r="148" spans="1:7">
      <c r="A148" s="17">
        <f>Data!A148</f>
        <v>53.561894971091021</v>
      </c>
      <c r="B148" s="18">
        <v>147</v>
      </c>
      <c r="C148" s="40">
        <f t="shared" si="10"/>
        <v>-6.5309429411803926E-2</v>
      </c>
      <c r="D148" s="17">
        <f t="shared" si="11"/>
        <v>52.865183759089177</v>
      </c>
      <c r="E148" s="41" t="str">
        <f t="shared" si="12"/>
        <v>Y = 0,000 * X + 39,313</v>
      </c>
      <c r="F148" s="17">
        <f t="shared" si="13"/>
        <v>39.2503901848102</v>
      </c>
      <c r="G148" s="42">
        <f t="shared" si="14"/>
        <v>39.255452885235819</v>
      </c>
    </row>
    <row r="149" spans="1:7">
      <c r="A149" s="17">
        <f>Data!A149</f>
        <v>40.496980646709844</v>
      </c>
      <c r="B149" s="18">
        <v>148</v>
      </c>
      <c r="C149" s="40">
        <f t="shared" si="10"/>
        <v>-5.9428677078544677E-2</v>
      </c>
      <c r="D149" s="17">
        <f t="shared" si="11"/>
        <v>51.594941255105176</v>
      </c>
      <c r="E149" s="41" t="str">
        <f t="shared" si="12"/>
        <v>Y = 0,000 * X + 39,313</v>
      </c>
      <c r="F149" s="17">
        <f t="shared" si="13"/>
        <v>39.2503901848102</v>
      </c>
      <c r="G149" s="42">
        <f t="shared" si="14"/>
        <v>39.255063446741538</v>
      </c>
    </row>
    <row r="150" spans="1:7">
      <c r="A150" s="17">
        <f>Data!A150</f>
        <v>34.399320510618665</v>
      </c>
      <c r="B150" s="18">
        <v>149</v>
      </c>
      <c r="C150" s="40">
        <f t="shared" si="10"/>
        <v>-6.0769688377770491E-2</v>
      </c>
      <c r="D150" s="17">
        <f t="shared" si="11"/>
        <v>51.885046699504358</v>
      </c>
      <c r="E150" s="41" t="str">
        <f t="shared" si="12"/>
        <v>Y = 0,000 * X + 39,313</v>
      </c>
      <c r="F150" s="17">
        <f t="shared" si="13"/>
        <v>39.2503901848102</v>
      </c>
      <c r="G150" s="42">
        <f t="shared" si="14"/>
        <v>39.254674008247264</v>
      </c>
    </row>
    <row r="151" spans="1:7">
      <c r="A151" s="17">
        <f>Data!A151</f>
        <v>41.896296601561211</v>
      </c>
      <c r="B151" s="18">
        <v>150</v>
      </c>
      <c r="C151" s="40">
        <f t="shared" si="10"/>
        <v>-6.5778228548422732E-2</v>
      </c>
      <c r="D151" s="17">
        <f t="shared" si="11"/>
        <v>52.970230403145692</v>
      </c>
      <c r="E151" s="41" t="str">
        <f t="shared" si="12"/>
        <v>Y = 0,000 * X + 39,313</v>
      </c>
      <c r="F151" s="17">
        <f t="shared" si="13"/>
        <v>39.2503901848102</v>
      </c>
      <c r="G151" s="42">
        <f t="shared" si="14"/>
        <v>39.254284569752983</v>
      </c>
    </row>
    <row r="152" spans="1:7">
      <c r="A152" s="17">
        <f>Data!A152</f>
        <v>43.222204335250218</v>
      </c>
      <c r="B152" s="18">
        <v>151</v>
      </c>
      <c r="C152" s="40">
        <f t="shared" si="10"/>
        <v>-6.6509864620738574E-2</v>
      </c>
      <c r="D152" s="17">
        <f t="shared" si="11"/>
        <v>53.128995430838216</v>
      </c>
      <c r="E152" s="41" t="str">
        <f t="shared" si="12"/>
        <v>Y = 0,000 * X + 39,313</v>
      </c>
      <c r="F152" s="17">
        <f t="shared" si="13"/>
        <v>39.2503901848102</v>
      </c>
      <c r="G152" s="42">
        <f t="shared" si="14"/>
        <v>39.253895131258702</v>
      </c>
    </row>
    <row r="153" spans="1:7">
      <c r="A153" s="17">
        <f>Data!A153</f>
        <v>16.692394973823074</v>
      </c>
      <c r="B153" s="18">
        <v>152</v>
      </c>
      <c r="C153" s="40">
        <f t="shared" si="10"/>
        <v>-6.6425635516135215E-2</v>
      </c>
      <c r="D153" s="17">
        <f t="shared" si="11"/>
        <v>53.110689638771092</v>
      </c>
      <c r="E153" s="41" t="str">
        <f t="shared" si="12"/>
        <v>Y = 0,000 * X + 39,313</v>
      </c>
      <c r="F153" s="17">
        <f t="shared" si="13"/>
        <v>39.2503901848102</v>
      </c>
      <c r="G153" s="42">
        <f t="shared" si="14"/>
        <v>39.253505692764428</v>
      </c>
    </row>
    <row r="154" spans="1:7">
      <c r="A154" s="17">
        <f>Data!A154</f>
        <v>34.382526834987345</v>
      </c>
      <c r="B154" s="18">
        <v>153</v>
      </c>
      <c r="C154" s="40">
        <f t="shared" si="10"/>
        <v>-8.3039309869067393E-2</v>
      </c>
      <c r="D154" s="17">
        <f t="shared" si="11"/>
        <v>56.72693275625933</v>
      </c>
      <c r="E154" s="41" t="str">
        <f t="shared" si="12"/>
        <v>Y = 0,000 * X + 39,313</v>
      </c>
      <c r="F154" s="17">
        <f t="shared" si="13"/>
        <v>39.2503901848102</v>
      </c>
      <c r="G154" s="42">
        <f t="shared" si="14"/>
        <v>39.253116254270147</v>
      </c>
    </row>
    <row r="155" spans="1:7">
      <c r="A155" s="17">
        <f>Data!A155</f>
        <v>31.759147079187805</v>
      </c>
      <c r="B155" s="18">
        <v>154</v>
      </c>
      <c r="C155" s="40">
        <f t="shared" si="10"/>
        <v>-8.9250258007794611E-2</v>
      </c>
      <c r="D155" s="17">
        <f t="shared" si="11"/>
        <v>58.08091945050186</v>
      </c>
      <c r="E155" s="41" t="str">
        <f t="shared" si="12"/>
        <v>Y = 0,000 * X + 39,313</v>
      </c>
      <c r="F155" s="17">
        <f t="shared" si="13"/>
        <v>39.2503901848102</v>
      </c>
      <c r="G155" s="42">
        <f t="shared" si="14"/>
        <v>39.252726815775873</v>
      </c>
    </row>
    <row r="156" spans="1:7">
      <c r="A156" s="17">
        <f>Data!A156</f>
        <v>42.62978392162664</v>
      </c>
      <c r="B156" s="18">
        <v>155</v>
      </c>
      <c r="C156" s="40">
        <f t="shared" si="10"/>
        <v>-9.7524753164448405E-2</v>
      </c>
      <c r="D156" s="17">
        <f t="shared" si="11"/>
        <v>59.887517559704605</v>
      </c>
      <c r="E156" s="41" t="str">
        <f t="shared" si="12"/>
        <v>Y = 0,000 * X + 39,313</v>
      </c>
      <c r="F156" s="17">
        <f t="shared" si="13"/>
        <v>39.2503901848102</v>
      </c>
      <c r="G156" s="42">
        <f t="shared" si="14"/>
        <v>39.252337377281592</v>
      </c>
    </row>
    <row r="157" spans="1:7">
      <c r="A157" s="17">
        <f>Data!A157</f>
        <v>47.348187782652985</v>
      </c>
      <c r="B157" s="18">
        <v>156</v>
      </c>
      <c r="C157" s="40">
        <f t="shared" si="10"/>
        <v>-9.896354167346641E-2</v>
      </c>
      <c r="D157" s="17">
        <f t="shared" si="11"/>
        <v>60.202132647009876</v>
      </c>
      <c r="E157" s="41" t="str">
        <f t="shared" si="12"/>
        <v>Y = 0,000 * X + 39,313</v>
      </c>
      <c r="F157" s="17">
        <f t="shared" si="13"/>
        <v>39.2503901848102</v>
      </c>
      <c r="G157" s="42">
        <f t="shared" si="14"/>
        <v>39.251947938787318</v>
      </c>
    </row>
    <row r="158" spans="1:7">
      <c r="A158" s="17">
        <f>Data!A158</f>
        <v>50.40591893205287</v>
      </c>
      <c r="B158" s="18">
        <v>157</v>
      </c>
      <c r="C158" s="40">
        <f t="shared" si="10"/>
        <v>-9.7189782142441047E-2</v>
      </c>
      <c r="D158" s="17">
        <f t="shared" si="11"/>
        <v>59.813679309715326</v>
      </c>
      <c r="E158" s="41" t="str">
        <f t="shared" si="12"/>
        <v>Y = 0,000 * X + 39,313</v>
      </c>
      <c r="F158" s="17">
        <f t="shared" si="13"/>
        <v>39.2503901848102</v>
      </c>
      <c r="G158" s="42">
        <f t="shared" si="14"/>
        <v>39.251558500293037</v>
      </c>
    </row>
    <row r="159" spans="1:7">
      <c r="A159" s="17">
        <f>Data!A159</f>
        <v>33.388097372650975</v>
      </c>
      <c r="B159" s="18">
        <v>158</v>
      </c>
      <c r="C159" s="40">
        <f t="shared" si="10"/>
        <v>-9.3086671750645306E-2</v>
      </c>
      <c r="D159" s="17">
        <f t="shared" si="11"/>
        <v>58.913730430448126</v>
      </c>
      <c r="E159" s="41" t="str">
        <f t="shared" si="12"/>
        <v>Y = 0,000 * X + 39,313</v>
      </c>
      <c r="F159" s="17">
        <f t="shared" si="13"/>
        <v>39.2503901848102</v>
      </c>
      <c r="G159" s="42">
        <f t="shared" si="14"/>
        <v>39.251169061798755</v>
      </c>
    </row>
    <row r="160" spans="1:7">
      <c r="A160" s="17">
        <f>Data!A160</f>
        <v>44.955161971473728</v>
      </c>
      <c r="B160" s="18">
        <v>159</v>
      </c>
      <c r="C160" s="40">
        <f t="shared" si="10"/>
        <v>-0.100839614121306</v>
      </c>
      <c r="D160" s="17">
        <f t="shared" si="11"/>
        <v>60.61679343786993</v>
      </c>
      <c r="E160" s="41" t="str">
        <f t="shared" si="12"/>
        <v>Y = 0,000 * X + 39,313</v>
      </c>
      <c r="F160" s="17">
        <f t="shared" si="13"/>
        <v>39.2503901848102</v>
      </c>
      <c r="G160" s="42">
        <f t="shared" si="14"/>
        <v>39.250779623304481</v>
      </c>
    </row>
    <row r="161" spans="1:7">
      <c r="A161" s="17">
        <f>Data!A161</f>
        <v>57.188495390883581</v>
      </c>
      <c r="B161" s="18">
        <v>160</v>
      </c>
      <c r="C161" s="40">
        <f t="shared" si="10"/>
        <v>-0.10056718395361997</v>
      </c>
      <c r="D161" s="17">
        <f t="shared" si="11"/>
        <v>60.556858800978986</v>
      </c>
      <c r="E161" s="41" t="str">
        <f t="shared" si="12"/>
        <v>Y = 0,000 * X + 39,313</v>
      </c>
      <c r="F161" s="17">
        <f t="shared" si="13"/>
        <v>39.2503901848102</v>
      </c>
      <c r="G161" s="42">
        <f t="shared" si="14"/>
        <v>39.2503901848102</v>
      </c>
    </row>
    <row r="162" spans="1:7">
      <c r="A162" s="17">
        <f>Data!A162</f>
        <v>42.640619064734018</v>
      </c>
      <c r="B162" s="18">
        <v>161</v>
      </c>
      <c r="C162" s="40">
        <f t="shared" si="10"/>
        <v>-9.1037306783220126E-2</v>
      </c>
      <c r="D162" s="17">
        <f t="shared" si="11"/>
        <v>58.457109197767565</v>
      </c>
      <c r="E162" s="41" t="str">
        <f t="shared" si="12"/>
        <v>Y = 0,000 * X + 39,313</v>
      </c>
      <c r="F162" s="17">
        <f t="shared" si="13"/>
        <v>39.2503901848102</v>
      </c>
      <c r="G162" s="42">
        <f t="shared" si="14"/>
        <v>39.250000746315926</v>
      </c>
    </row>
    <row r="163" spans="1:7">
      <c r="A163" s="17">
        <f>Data!A163</f>
        <v>42.97511084949376</v>
      </c>
      <c r="B163" s="18">
        <v>162</v>
      </c>
      <c r="C163" s="40">
        <f t="shared" si="10"/>
        <v>-9.1925573183323631E-2</v>
      </c>
      <c r="D163" s="17">
        <f t="shared" si="11"/>
        <v>58.653119983390411</v>
      </c>
      <c r="E163" s="41" t="str">
        <f t="shared" si="12"/>
        <v>Y = 0,000 * X + 39,313</v>
      </c>
      <c r="F163" s="17">
        <f t="shared" si="13"/>
        <v>39.2503901848102</v>
      </c>
      <c r="G163" s="42">
        <f t="shared" si="14"/>
        <v>39.249611307821645</v>
      </c>
    </row>
    <row r="164" spans="1:7">
      <c r="A164" s="17">
        <f>Data!A164</f>
        <v>58.948429639584688</v>
      </c>
      <c r="B164" s="18">
        <v>163</v>
      </c>
      <c r="C164" s="40">
        <f t="shared" si="10"/>
        <v>-9.2541612586300254E-2</v>
      </c>
      <c r="D164" s="17">
        <f t="shared" si="11"/>
        <v>58.789264691448238</v>
      </c>
      <c r="E164" s="41" t="str">
        <f t="shared" si="12"/>
        <v>Y = 0,000 * X + 39,313</v>
      </c>
      <c r="F164" s="17">
        <f t="shared" si="13"/>
        <v>39.2503901848102</v>
      </c>
      <c r="G164" s="42">
        <f t="shared" si="14"/>
        <v>39.249221869327364</v>
      </c>
    </row>
    <row r="165" spans="1:7">
      <c r="A165" s="17">
        <f>Data!A165</f>
        <v>51.655530608077399</v>
      </c>
      <c r="B165" s="18">
        <v>164</v>
      </c>
      <c r="C165" s="40">
        <f t="shared" si="10"/>
        <v>-8.0317516515968787E-2</v>
      </c>
      <c r="D165" s="17">
        <f t="shared" si="11"/>
        <v>56.083664761214877</v>
      </c>
      <c r="E165" s="41" t="str">
        <f t="shared" si="12"/>
        <v>Y = 0,000 * X + 39,313</v>
      </c>
      <c r="F165" s="17">
        <f t="shared" si="13"/>
        <v>39.2503901848102</v>
      </c>
      <c r="G165" s="42">
        <f t="shared" si="14"/>
        <v>39.24883243083309</v>
      </c>
    </row>
    <row r="166" spans="1:7">
      <c r="A166" s="17">
        <f>Data!A166</f>
        <v>53.672855371267403</v>
      </c>
      <c r="B166" s="18">
        <v>165</v>
      </c>
      <c r="C166" s="40">
        <f t="shared" si="10"/>
        <v>-7.3140549165368482E-2</v>
      </c>
      <c r="D166" s="17">
        <f t="shared" si="11"/>
        <v>54.492770331831807</v>
      </c>
      <c r="E166" s="41" t="str">
        <f t="shared" si="12"/>
        <v>Y = 0,000 * X + 39,313</v>
      </c>
      <c r="F166" s="17">
        <f t="shared" si="13"/>
        <v>39.2503901848102</v>
      </c>
      <c r="G166" s="42">
        <f t="shared" si="14"/>
        <v>39.248442992338809</v>
      </c>
    </row>
    <row r="167" spans="1:7">
      <c r="A167" s="17">
        <f>Data!A167</f>
        <v>32.598979267443674</v>
      </c>
      <c r="B167" s="18">
        <v>166</v>
      </c>
      <c r="C167" s="40">
        <f t="shared" si="10"/>
        <v>-6.3688216684930327E-2</v>
      </c>
      <c r="D167" s="17">
        <f t="shared" si="11"/>
        <v>52.39435252117454</v>
      </c>
      <c r="E167" s="41" t="str">
        <f t="shared" si="12"/>
        <v>Y = 0,000 * X + 39,313</v>
      </c>
      <c r="F167" s="17">
        <f t="shared" si="13"/>
        <v>39.2503901848102</v>
      </c>
      <c r="G167" s="42">
        <f t="shared" si="14"/>
        <v>39.248053553844535</v>
      </c>
    </row>
    <row r="168" spans="1:7">
      <c r="A168" s="17">
        <f>Data!A168</f>
        <v>47.423795101431693</v>
      </c>
      <c r="B168" s="18">
        <v>167</v>
      </c>
      <c r="C168" s="40">
        <f t="shared" si="10"/>
        <v>-7.1625505225405756E-2</v>
      </c>
      <c r="D168" s="17">
        <f t="shared" si="11"/>
        <v>54.159076340006905</v>
      </c>
      <c r="E168" s="41" t="str">
        <f t="shared" si="12"/>
        <v>Y = 0,000 * X + 39,313</v>
      </c>
      <c r="F168" s="17">
        <f t="shared" si="13"/>
        <v>39.2503901848102</v>
      </c>
      <c r="G168" s="42">
        <f t="shared" si="14"/>
        <v>39.247664115350254</v>
      </c>
    </row>
    <row r="169" spans="1:7">
      <c r="A169" s="17">
        <f>Data!A169</f>
        <v>59.192763261780883</v>
      </c>
      <c r="B169" s="18">
        <v>168</v>
      </c>
      <c r="C169" s="40">
        <f t="shared" si="10"/>
        <v>-6.7018236814532242E-2</v>
      </c>
      <c r="D169" s="17">
        <f t="shared" si="11"/>
        <v>53.133191240519082</v>
      </c>
      <c r="E169" s="41" t="str">
        <f t="shared" si="12"/>
        <v>Y = 0,000 * X + 39,313</v>
      </c>
      <c r="F169" s="17">
        <f t="shared" si="13"/>
        <v>39.2503901848102</v>
      </c>
      <c r="G169" s="42">
        <f t="shared" si="14"/>
        <v>39.24727467685598</v>
      </c>
    </row>
    <row r="170" spans="1:7">
      <c r="A170" s="17">
        <f>Data!A170</f>
        <v>38.770078860599881</v>
      </c>
      <c r="B170" s="18">
        <v>169</v>
      </c>
      <c r="C170" s="40">
        <f t="shared" si="10"/>
        <v>-5.1373579356444446E-2</v>
      </c>
      <c r="D170" s="17">
        <f t="shared" si="11"/>
        <v>49.644432627365504</v>
      </c>
      <c r="E170" s="41" t="str">
        <f t="shared" si="12"/>
        <v>Y = 0,000 * X + 39,313</v>
      </c>
      <c r="F170" s="17">
        <f t="shared" si="13"/>
        <v>39.2503901848102</v>
      </c>
      <c r="G170" s="42">
        <f t="shared" si="14"/>
        <v>39.246885238361699</v>
      </c>
    </row>
    <row r="171" spans="1:7">
      <c r="A171" s="17">
        <f>Data!A171</f>
        <v>54.713389266433971</v>
      </c>
      <c r="B171" s="18">
        <v>170</v>
      </c>
      <c r="C171" s="40">
        <f t="shared" si="10"/>
        <v>-5.3403411630080062E-2</v>
      </c>
      <c r="D171" s="17">
        <f t="shared" si="11"/>
        <v>50.097761835144112</v>
      </c>
      <c r="E171" s="41" t="str">
        <f t="shared" si="12"/>
        <v>Y = 0,000 * X + 39,313</v>
      </c>
      <c r="F171" s="17">
        <f t="shared" si="13"/>
        <v>39.2503901848102</v>
      </c>
      <c r="G171" s="42">
        <f t="shared" si="14"/>
        <v>39.246495799867418</v>
      </c>
    </row>
    <row r="172" spans="1:7">
      <c r="A172" s="17">
        <f>Data!A172</f>
        <v>37.164785642468161</v>
      </c>
      <c r="B172" s="18">
        <v>171</v>
      </c>
      <c r="C172" s="40">
        <f t="shared" si="10"/>
        <v>-4.0402581811975508E-2</v>
      </c>
      <c r="D172" s="17">
        <f t="shared" si="11"/>
        <v>47.189909565828067</v>
      </c>
      <c r="E172" s="41" t="str">
        <f t="shared" si="12"/>
        <v>Y = 0,000 * X + 39,313</v>
      </c>
      <c r="F172" s="17">
        <f t="shared" si="13"/>
        <v>39.2503901848102</v>
      </c>
      <c r="G172" s="42">
        <f t="shared" si="14"/>
        <v>39.246106361373144</v>
      </c>
    </row>
    <row r="173" spans="1:7">
      <c r="A173" s="17">
        <f>Data!A173</f>
        <v>23.053804077463283</v>
      </c>
      <c r="B173" s="18">
        <v>172</v>
      </c>
      <c r="C173" s="40">
        <f t="shared" si="10"/>
        <v>-4.3436936664470252E-2</v>
      </c>
      <c r="D173" s="17">
        <f t="shared" si="11"/>
        <v>47.869605052786895</v>
      </c>
      <c r="E173" s="41" t="str">
        <f t="shared" si="12"/>
        <v>Y = 0,000 * X + 39,313</v>
      </c>
      <c r="F173" s="17">
        <f t="shared" si="13"/>
        <v>39.2503901848102</v>
      </c>
      <c r="G173" s="42">
        <f t="shared" si="14"/>
        <v>39.245716922878863</v>
      </c>
    </row>
    <row r="174" spans="1:7">
      <c r="A174" s="17">
        <f>Data!A174</f>
        <v>31.794990297691804</v>
      </c>
      <c r="B174" s="18">
        <v>173</v>
      </c>
      <c r="C174" s="40">
        <f t="shared" si="10"/>
        <v>-6.0764257212956509E-2</v>
      </c>
      <c r="D174" s="17">
        <f t="shared" si="11"/>
        <v>51.756700629163973</v>
      </c>
      <c r="E174" s="41" t="str">
        <f t="shared" si="12"/>
        <v>Y = 0,000 * X + 39,313</v>
      </c>
      <c r="F174" s="17">
        <f t="shared" si="13"/>
        <v>39.2503901848102</v>
      </c>
      <c r="G174" s="42">
        <f t="shared" si="14"/>
        <v>39.245327484384589</v>
      </c>
    </row>
    <row r="175" spans="1:7">
      <c r="A175" s="17">
        <f>Data!A175</f>
        <v>33.782285653158631</v>
      </c>
      <c r="B175" s="18">
        <v>174</v>
      </c>
      <c r="C175" s="40">
        <f t="shared" si="10"/>
        <v>-7.045273346069815E-2</v>
      </c>
      <c r="D175" s="17">
        <f t="shared" si="11"/>
        <v>53.933378292823264</v>
      </c>
      <c r="E175" s="41" t="str">
        <f t="shared" si="12"/>
        <v>Y = 0,000 * X + 39,313</v>
      </c>
      <c r="F175" s="17">
        <f t="shared" si="13"/>
        <v>39.2503901848102</v>
      </c>
      <c r="G175" s="42">
        <f t="shared" si="14"/>
        <v>39.244938045890308</v>
      </c>
    </row>
    <row r="176" spans="1:7">
      <c r="A176" s="17">
        <f>Data!A176</f>
        <v>43.787636450300575</v>
      </c>
      <c r="B176" s="18">
        <v>175</v>
      </c>
      <c r="C176" s="40">
        <f t="shared" si="10"/>
        <v>-7.876043558438571E-2</v>
      </c>
      <c r="D176" s="17">
        <f t="shared" si="11"/>
        <v>55.80261127065296</v>
      </c>
      <c r="E176" s="41" t="str">
        <f t="shared" si="12"/>
        <v>Y = 0,000 * X + 39,313</v>
      </c>
      <c r="F176" s="17">
        <f t="shared" si="13"/>
        <v>39.2503901848102</v>
      </c>
      <c r="G176" s="42">
        <f t="shared" si="14"/>
        <v>39.244548607396027</v>
      </c>
    </row>
    <row r="177" spans="1:7">
      <c r="A177" s="17">
        <f>Data!A177</f>
        <v>49.828620143118847</v>
      </c>
      <c r="B177" s="18">
        <v>176</v>
      </c>
      <c r="C177" s="40">
        <f t="shared" si="10"/>
        <v>-7.6848974603936929E-2</v>
      </c>
      <c r="D177" s="17">
        <f t="shared" si="11"/>
        <v>55.371895396391849</v>
      </c>
      <c r="E177" s="41" t="str">
        <f t="shared" si="12"/>
        <v>Y = 0,000 * X + 39,313</v>
      </c>
      <c r="F177" s="17">
        <f t="shared" si="13"/>
        <v>39.2503901848102</v>
      </c>
      <c r="G177" s="42">
        <f t="shared" si="14"/>
        <v>39.244159168901753</v>
      </c>
    </row>
    <row r="178" spans="1:7">
      <c r="A178" s="17">
        <f>Data!A178</f>
        <v>44.879911029246649</v>
      </c>
      <c r="B178" s="18">
        <v>177</v>
      </c>
      <c r="C178" s="40">
        <f t="shared" si="10"/>
        <v>-6.7983209024129534E-2</v>
      </c>
      <c r="D178" s="17">
        <f t="shared" si="11"/>
        <v>53.371187630548633</v>
      </c>
      <c r="E178" s="41" t="str">
        <f t="shared" si="12"/>
        <v>Y = 0,000 * X + 39,313</v>
      </c>
      <c r="F178" s="17">
        <f t="shared" si="13"/>
        <v>39.2503901848102</v>
      </c>
      <c r="G178" s="42">
        <f t="shared" si="14"/>
        <v>39.243769730407472</v>
      </c>
    </row>
    <row r="179" spans="1:7">
      <c r="A179" s="17">
        <f>Data!A179</f>
        <v>38.648395422999336</v>
      </c>
      <c r="B179" s="18">
        <v>178</v>
      </c>
      <c r="C179" s="40">
        <f t="shared" si="10"/>
        <v>-6.3940113823251765E-2</v>
      </c>
      <c r="D179" s="17">
        <f t="shared" si="11"/>
        <v>52.457448115150257</v>
      </c>
      <c r="E179" s="41" t="str">
        <f t="shared" si="12"/>
        <v>Y = 0,000 * X + 39,313</v>
      </c>
      <c r="F179" s="17">
        <f t="shared" si="13"/>
        <v>39.2503901848102</v>
      </c>
      <c r="G179" s="42">
        <f t="shared" si="14"/>
        <v>39.243380291913198</v>
      </c>
    </row>
    <row r="180" spans="1:7">
      <c r="A180" s="17">
        <f>Data!A180</f>
        <v>42.997565740114361</v>
      </c>
      <c r="B180" s="18">
        <v>179</v>
      </c>
      <c r="C180" s="40">
        <f t="shared" si="10"/>
        <v>-6.6789541559885715E-2</v>
      </c>
      <c r="D180" s="17">
        <f t="shared" si="11"/>
        <v>53.102368592875081</v>
      </c>
      <c r="E180" s="41" t="str">
        <f t="shared" si="12"/>
        <v>Y = 0,000 * X + 39,313</v>
      </c>
      <c r="F180" s="17">
        <f t="shared" si="13"/>
        <v>39.2503901848102</v>
      </c>
      <c r="G180" s="42">
        <f t="shared" si="14"/>
        <v>39.242990853418917</v>
      </c>
    </row>
    <row r="181" spans="1:7">
      <c r="A181" s="17">
        <f>Data!A181</f>
        <v>49.28917560750989</v>
      </c>
      <c r="B181" s="18">
        <v>180</v>
      </c>
      <c r="C181" s="40">
        <f t="shared" si="10"/>
        <v>-6.4555507250277491E-2</v>
      </c>
      <c r="D181" s="17">
        <f t="shared" si="11"/>
        <v>52.595987482697211</v>
      </c>
      <c r="E181" s="41" t="str">
        <f t="shared" si="12"/>
        <v>Y = 0,000 * X + 39,313</v>
      </c>
      <c r="F181" s="17">
        <f t="shared" si="13"/>
        <v>39.2503901848102</v>
      </c>
      <c r="G181" s="42">
        <f t="shared" si="14"/>
        <v>39.242601414924643</v>
      </c>
    </row>
    <row r="182" spans="1:7">
      <c r="A182" s="17">
        <f>Data!A182</f>
        <v>52.284347539893943</v>
      </c>
      <c r="B182" s="18">
        <v>181</v>
      </c>
      <c r="C182" s="40">
        <f t="shared" si="10"/>
        <v>-5.4228576281504071E-2</v>
      </c>
      <c r="D182" s="17">
        <f t="shared" si="11"/>
        <v>50.251774152785657</v>
      </c>
      <c r="E182" s="41" t="str">
        <f t="shared" si="12"/>
        <v>Y = 0,000 * X + 39,313</v>
      </c>
      <c r="F182" s="17">
        <f t="shared" si="13"/>
        <v>39.2503901848102</v>
      </c>
      <c r="G182" s="42">
        <f t="shared" si="14"/>
        <v>39.242211976430362</v>
      </c>
    </row>
    <row r="183" spans="1:7">
      <c r="A183" s="17">
        <f>Data!A183</f>
        <v>46.432726486494047</v>
      </c>
      <c r="B183" s="18">
        <v>182</v>
      </c>
      <c r="C183" s="40">
        <f t="shared" si="10"/>
        <v>-3.9077750585774486E-2</v>
      </c>
      <c r="D183" s="17">
        <f t="shared" si="11"/>
        <v>46.80748644462313</v>
      </c>
      <c r="E183" s="41" t="str">
        <f t="shared" si="12"/>
        <v>Y = 0,000 * X + 39,313</v>
      </c>
      <c r="F183" s="17">
        <f t="shared" si="13"/>
        <v>39.2503901848102</v>
      </c>
      <c r="G183" s="42">
        <f t="shared" si="14"/>
        <v>39.241822537936081</v>
      </c>
    </row>
    <row r="184" spans="1:7">
      <c r="A184" s="17">
        <f>Data!A184</f>
        <v>21.308972076293415</v>
      </c>
      <c r="B184" s="18">
        <v>183</v>
      </c>
      <c r="C184" s="40">
        <f t="shared" si="10"/>
        <v>-3.0204979758098625E-2</v>
      </c>
      <c r="D184" s="17">
        <f t="shared" si="11"/>
        <v>44.787452286188916</v>
      </c>
      <c r="E184" s="41" t="str">
        <f t="shared" si="12"/>
        <v>Y = 0,000 * X + 39,313</v>
      </c>
      <c r="F184" s="17">
        <f t="shared" si="13"/>
        <v>39.2503901848102</v>
      </c>
      <c r="G184" s="42">
        <f t="shared" si="14"/>
        <v>39.241433099441807</v>
      </c>
    </row>
    <row r="185" spans="1:7">
      <c r="A185" s="17">
        <f>Data!A185</f>
        <v>38.927192530738353</v>
      </c>
      <c r="B185" s="18">
        <v>184</v>
      </c>
      <c r="C185" s="40">
        <f t="shared" si="10"/>
        <v>-5.4561789682336687E-2</v>
      </c>
      <c r="D185" s="17">
        <f t="shared" si="11"/>
        <v>50.340804948915199</v>
      </c>
      <c r="E185" s="41" t="str">
        <f t="shared" si="12"/>
        <v>Y = 0,000 * X + 39,313</v>
      </c>
      <c r="F185" s="17">
        <f t="shared" si="13"/>
        <v>39.2503901848102</v>
      </c>
      <c r="G185" s="42">
        <f t="shared" si="14"/>
        <v>39.241043660947525</v>
      </c>
    </row>
    <row r="186" spans="1:7">
      <c r="A186" s="17">
        <f>Data!A186</f>
        <v>31.173135450243226</v>
      </c>
      <c r="B186" s="18">
        <v>185</v>
      </c>
      <c r="C186" s="40">
        <f t="shared" si="10"/>
        <v>-5.6483808027269405E-2</v>
      </c>
      <c r="D186" s="17">
        <f t="shared" si="11"/>
        <v>50.779665804341498</v>
      </c>
      <c r="E186" s="41" t="str">
        <f t="shared" si="12"/>
        <v>Y = 0,000 * X + 39,313</v>
      </c>
      <c r="F186" s="17">
        <f t="shared" si="13"/>
        <v>39.2503901848102</v>
      </c>
      <c r="G186" s="42">
        <f t="shared" si="14"/>
        <v>39.240654222453252</v>
      </c>
    </row>
    <row r="187" spans="1:7">
      <c r="A187" s="17">
        <f>Data!A187</f>
        <v>48.964054162810918</v>
      </c>
      <c r="B187" s="18">
        <v>186</v>
      </c>
      <c r="C187" s="40">
        <f t="shared" si="10"/>
        <v>-6.9691056876865692E-2</v>
      </c>
      <c r="D187" s="17">
        <f t="shared" si="11"/>
        <v>53.799723374615851</v>
      </c>
      <c r="E187" s="41" t="str">
        <f t="shared" si="12"/>
        <v>Y = 0,000 * X + 39,313</v>
      </c>
      <c r="F187" s="17">
        <f t="shared" si="13"/>
        <v>39.2503901848102</v>
      </c>
      <c r="G187" s="42">
        <f t="shared" si="14"/>
        <v>39.24026478395897</v>
      </c>
    </row>
    <row r="188" spans="1:7">
      <c r="A188" s="17">
        <f>Data!A188</f>
        <v>39.142526256670848</v>
      </c>
      <c r="B188" s="18">
        <v>187</v>
      </c>
      <c r="C188" s="40">
        <f t="shared" si="10"/>
        <v>-5.7597504246966774E-2</v>
      </c>
      <c r="D188" s="17">
        <f t="shared" si="11"/>
        <v>51.030299822369003</v>
      </c>
      <c r="E188" s="41" t="str">
        <f t="shared" si="12"/>
        <v>Y = 0,000 * X + 39,313</v>
      </c>
      <c r="F188" s="17">
        <f t="shared" si="13"/>
        <v>39.2503901848102</v>
      </c>
      <c r="G188" s="42">
        <f t="shared" si="14"/>
        <v>39.239875345464689</v>
      </c>
    </row>
    <row r="189" spans="1:7">
      <c r="A189" s="17">
        <f>Data!A189</f>
        <v>40.641012568504152</v>
      </c>
      <c r="B189" s="18">
        <v>188</v>
      </c>
      <c r="C189" s="40">
        <f t="shared" si="10"/>
        <v>-5.9313387920569512E-2</v>
      </c>
      <c r="D189" s="17">
        <f t="shared" si="11"/>
        <v>51.423809144848562</v>
      </c>
      <c r="E189" s="41" t="str">
        <f t="shared" si="12"/>
        <v>Y = 0,000 * X + 39,313</v>
      </c>
      <c r="F189" s="17">
        <f t="shared" si="13"/>
        <v>39.2503901848102</v>
      </c>
      <c r="G189" s="42">
        <f t="shared" si="14"/>
        <v>39.239485906970415</v>
      </c>
    </row>
    <row r="190" spans="1:7">
      <c r="A190" s="17">
        <f>Data!A190</f>
        <v>23.200212456372398</v>
      </c>
      <c r="B190" s="18">
        <v>189</v>
      </c>
      <c r="C190" s="40">
        <f t="shared" si="10"/>
        <v>-5.8729378899856681E-2</v>
      </c>
      <c r="D190" s="17">
        <f t="shared" si="11"/>
        <v>51.28968173975818</v>
      </c>
      <c r="E190" s="41" t="str">
        <f t="shared" si="12"/>
        <v>Y = 0,000 * X + 39,313</v>
      </c>
      <c r="F190" s="17">
        <f t="shared" si="13"/>
        <v>39.2503901848102</v>
      </c>
      <c r="G190" s="42">
        <f t="shared" si="14"/>
        <v>39.239096468476134</v>
      </c>
    </row>
    <row r="191" spans="1:7">
      <c r="A191" s="17">
        <f>Data!A191</f>
        <v>46.150486302837614</v>
      </c>
      <c r="B191" s="18">
        <v>190</v>
      </c>
      <c r="C191" s="40">
        <f t="shared" si="10"/>
        <v>-8.6581209508566265E-2</v>
      </c>
      <c r="D191" s="17">
        <f t="shared" si="11"/>
        <v>57.695602779761387</v>
      </c>
      <c r="E191" s="41" t="str">
        <f t="shared" si="12"/>
        <v>Y = 0,000 * X + 39,313</v>
      </c>
      <c r="F191" s="17">
        <f t="shared" si="13"/>
        <v>39.2503901848102</v>
      </c>
      <c r="G191" s="42">
        <f t="shared" si="14"/>
        <v>39.23870702998186</v>
      </c>
    </row>
    <row r="192" spans="1:7">
      <c r="A192" s="17">
        <f>Data!A192</f>
        <v>47.536567533884707</v>
      </c>
      <c r="B192" s="18">
        <v>191</v>
      </c>
      <c r="C192" s="40">
        <f t="shared" si="10"/>
        <v>-7.826711911923781E-2</v>
      </c>
      <c r="D192" s="17">
        <f t="shared" si="11"/>
        <v>55.780590626752726</v>
      </c>
      <c r="E192" s="41" t="str">
        <f t="shared" si="12"/>
        <v>Y = 0,000 * X + 39,313</v>
      </c>
      <c r="F192" s="17">
        <f t="shared" si="13"/>
        <v>39.2503901848102</v>
      </c>
      <c r="G192" s="42">
        <f t="shared" si="14"/>
        <v>39.238317591487579</v>
      </c>
    </row>
    <row r="193" spans="1:7">
      <c r="A193" s="17">
        <f>Data!A193</f>
        <v>43.728183947766212</v>
      </c>
      <c r="B193" s="18">
        <v>192</v>
      </c>
      <c r="C193" s="40">
        <f t="shared" si="10"/>
        <v>-6.6510842101868348E-2</v>
      </c>
      <c r="D193" s="17">
        <f t="shared" si="11"/>
        <v>53.068809394746182</v>
      </c>
      <c r="E193" s="41" t="str">
        <f t="shared" si="12"/>
        <v>Y = 0,000 * X + 39,313</v>
      </c>
      <c r="F193" s="17">
        <f t="shared" si="13"/>
        <v>39.2503901848102</v>
      </c>
      <c r="G193" s="42">
        <f t="shared" si="14"/>
        <v>39.237928152993298</v>
      </c>
    </row>
    <row r="194" spans="1:7">
      <c r="A194" s="17">
        <f>Data!A194</f>
        <v>38.652888780003238</v>
      </c>
      <c r="B194" s="18">
        <v>193</v>
      </c>
      <c r="C194" s="40">
        <f t="shared" ref="C194:C257" si="15">SLOPE(A194:A443,B194:B443)</f>
        <v>-6.0286783596280751E-2</v>
      </c>
      <c r="D194" s="17">
        <f t="shared" ref="D194:D257" si="16">INTERCEPT(A194:A443,B194:B443)</f>
        <v>51.631051879955443</v>
      </c>
      <c r="E194" s="41" t="str">
        <f t="shared" ref="E194:E251" si="17">"Y = " &amp; TEXT($C$2,"0,000") &amp; " * X + " &amp; TEXT($D$2,"0,000")</f>
        <v>Y = 0,000 * X + 39,313</v>
      </c>
      <c r="F194" s="17">
        <f t="shared" ref="F194:F251" si="18">$C$2*160 + $D$2</f>
        <v>39.2503901848102</v>
      </c>
      <c r="G194" s="42">
        <f t="shared" si="14"/>
        <v>39.237538714499024</v>
      </c>
    </row>
    <row r="195" spans="1:7">
      <c r="A195" s="17">
        <f>Data!A195</f>
        <v>42.187489525849877</v>
      </c>
      <c r="B195" s="18">
        <v>194</v>
      </c>
      <c r="C195" s="40">
        <f t="shared" si="15"/>
        <v>-6.2810869810322162E-2</v>
      </c>
      <c r="D195" s="17">
        <f t="shared" si="16"/>
        <v>52.214957157470359</v>
      </c>
      <c r="E195" s="41" t="str">
        <f t="shared" si="17"/>
        <v>Y = 0,000 * X + 39,313</v>
      </c>
      <c r="F195" s="17">
        <f t="shared" si="18"/>
        <v>39.2503901848102</v>
      </c>
      <c r="G195" s="42">
        <f t="shared" ref="G195:G251" si="19">$C$2*B195 + $D$2</f>
        <v>39.237149276004743</v>
      </c>
    </row>
    <row r="196" spans="1:7">
      <c r="A196" s="17">
        <f>Data!A196</f>
        <v>37.601438957965435</v>
      </c>
      <c r="B196" s="18">
        <v>195</v>
      </c>
      <c r="C196" s="40">
        <f t="shared" si="15"/>
        <v>-5.8607283229318199E-2</v>
      </c>
      <c r="D196" s="17">
        <f t="shared" si="16"/>
        <v>51.241126266204446</v>
      </c>
      <c r="E196" s="41" t="str">
        <f t="shared" si="17"/>
        <v>Y = 0,000 * X + 39,313</v>
      </c>
      <c r="F196" s="17">
        <f t="shared" si="18"/>
        <v>39.2503901848102</v>
      </c>
      <c r="G196" s="42">
        <f t="shared" si="19"/>
        <v>39.236759837510469</v>
      </c>
    </row>
    <row r="197" spans="1:7">
      <c r="A197" s="17">
        <f>Data!A197</f>
        <v>41.223919910847876</v>
      </c>
      <c r="B197" s="18">
        <v>196</v>
      </c>
      <c r="C197" s="40">
        <f t="shared" si="15"/>
        <v>-6.3074489448554455E-2</v>
      </c>
      <c r="D197" s="17">
        <f t="shared" si="16"/>
        <v>52.277518109067252</v>
      </c>
      <c r="E197" s="41" t="str">
        <f t="shared" si="17"/>
        <v>Y = 0,000 * X + 39,313</v>
      </c>
      <c r="F197" s="17">
        <f t="shared" si="18"/>
        <v>39.2503901848102</v>
      </c>
      <c r="G197" s="42">
        <f t="shared" si="19"/>
        <v>39.236370399016188</v>
      </c>
    </row>
    <row r="198" spans="1:7">
      <c r="A198" s="17">
        <f>Data!A198</f>
        <v>35.944788068574013</v>
      </c>
      <c r="B198" s="18">
        <v>197</v>
      </c>
      <c r="C198" s="40">
        <f t="shared" si="15"/>
        <v>-6.0330251013130387E-2</v>
      </c>
      <c r="D198" s="17">
        <f t="shared" si="16"/>
        <v>51.639940045903721</v>
      </c>
      <c r="E198" s="41" t="str">
        <f t="shared" si="17"/>
        <v>Y = 0,000 * X + 39,313</v>
      </c>
      <c r="F198" s="17">
        <f t="shared" si="18"/>
        <v>39.2503901848102</v>
      </c>
      <c r="G198" s="42">
        <f t="shared" si="19"/>
        <v>39.235980960521914</v>
      </c>
    </row>
    <row r="199" spans="1:7">
      <c r="A199" s="17">
        <f>Data!A199</f>
        <v>39.738802941231661</v>
      </c>
      <c r="B199" s="18">
        <v>198</v>
      </c>
      <c r="C199" s="40">
        <f t="shared" si="15"/>
        <v>-6.8625082350742175E-2</v>
      </c>
      <c r="D199" s="17">
        <f t="shared" si="16"/>
        <v>53.569870803788078</v>
      </c>
      <c r="E199" s="41" t="str">
        <f t="shared" si="17"/>
        <v>Y = 0,000 * X + 39,313</v>
      </c>
      <c r="F199" s="17">
        <f t="shared" si="18"/>
        <v>39.2503901848102</v>
      </c>
      <c r="G199" s="42">
        <f t="shared" si="19"/>
        <v>39.235591522027633</v>
      </c>
    </row>
    <row r="200" spans="1:7">
      <c r="A200" s="17">
        <f>Data!A200</f>
        <v>38.785667809208498</v>
      </c>
      <c r="B200" s="18">
        <v>199</v>
      </c>
      <c r="C200" s="40">
        <f t="shared" si="15"/>
        <v>-6.9175538362302044E-2</v>
      </c>
      <c r="D200" s="17">
        <f t="shared" si="16"/>
        <v>53.698127054481532</v>
      </c>
      <c r="E200" s="41" t="str">
        <f t="shared" si="17"/>
        <v>Y = 0,000 * X + 39,313</v>
      </c>
      <c r="F200" s="17">
        <f t="shared" si="18"/>
        <v>39.2503901848102</v>
      </c>
      <c r="G200" s="42">
        <f t="shared" si="19"/>
        <v>39.235202083533352</v>
      </c>
    </row>
    <row r="201" spans="1:7">
      <c r="A201" s="17">
        <f>Data!A201</f>
        <v>41.441817069791554</v>
      </c>
      <c r="B201" s="18">
        <v>200</v>
      </c>
      <c r="C201" s="40">
        <f t="shared" si="15"/>
        <v>-7.1873249212125345E-2</v>
      </c>
      <c r="D201" s="17">
        <f t="shared" si="16"/>
        <v>54.327592919440292</v>
      </c>
      <c r="E201" s="41" t="str">
        <f t="shared" si="17"/>
        <v>Y = 0,000 * X + 39,313</v>
      </c>
      <c r="F201" s="17">
        <f t="shared" si="18"/>
        <v>39.2503901848102</v>
      </c>
      <c r="G201" s="42">
        <f t="shared" si="19"/>
        <v>39.234812645039078</v>
      </c>
    </row>
    <row r="202" spans="1:7">
      <c r="A202" s="17">
        <f>Data!A202</f>
        <v>27.554324302237319</v>
      </c>
      <c r="B202" s="18">
        <v>201</v>
      </c>
      <c r="C202" s="40">
        <f t="shared" si="15"/>
        <v>-6.8227027188999659E-2</v>
      </c>
      <c r="D202" s="17">
        <f t="shared" si="16"/>
        <v>53.475592373369928</v>
      </c>
      <c r="E202" s="41" t="str">
        <f t="shared" si="17"/>
        <v>Y = 0,000 * X + 39,313</v>
      </c>
      <c r="F202" s="17">
        <f t="shared" si="18"/>
        <v>39.2503901848102</v>
      </c>
      <c r="G202" s="42">
        <f t="shared" si="19"/>
        <v>39.234423206544797</v>
      </c>
    </row>
    <row r="203" spans="1:7">
      <c r="A203" s="17">
        <f>Data!A203</f>
        <v>37.953294230362353</v>
      </c>
      <c r="B203" s="18">
        <v>202</v>
      </c>
      <c r="C203" s="40">
        <f t="shared" si="15"/>
        <v>-9.9368954755692643E-2</v>
      </c>
      <c r="D203" s="17">
        <f t="shared" si="16"/>
        <v>60.762803423976095</v>
      </c>
      <c r="E203" s="41" t="str">
        <f t="shared" si="17"/>
        <v>Y = 0,000 * X + 39,313</v>
      </c>
      <c r="F203" s="17">
        <f t="shared" si="18"/>
        <v>39.2503901848102</v>
      </c>
      <c r="G203" s="42">
        <f t="shared" si="19"/>
        <v>39.234033768050523</v>
      </c>
    </row>
    <row r="204" spans="1:7">
      <c r="A204" s="17">
        <f>Data!A204</f>
        <v>52.001277331372251</v>
      </c>
      <c r="B204" s="18">
        <v>203</v>
      </c>
      <c r="C204" s="40">
        <f t="shared" si="15"/>
        <v>-0.10664815776889433</v>
      </c>
      <c r="D204" s="17">
        <f t="shared" si="16"/>
        <v>62.468563330069678</v>
      </c>
      <c r="E204" s="41" t="str">
        <f t="shared" si="17"/>
        <v>Y = 0,000 * X + 39,313</v>
      </c>
      <c r="F204" s="17">
        <f t="shared" si="18"/>
        <v>39.2503901848102</v>
      </c>
      <c r="G204" s="42">
        <f t="shared" si="19"/>
        <v>39.233644329556242</v>
      </c>
    </row>
    <row r="205" spans="1:7">
      <c r="A205" s="17">
        <f>Data!A205</f>
        <v>35.188876521101619</v>
      </c>
      <c r="B205" s="18">
        <v>204</v>
      </c>
      <c r="C205" s="40">
        <f t="shared" si="15"/>
        <v>-7.5614975451443439E-2</v>
      </c>
      <c r="D205" s="17">
        <f t="shared" si="16"/>
        <v>55.186109879574545</v>
      </c>
      <c r="E205" s="41" t="str">
        <f t="shared" si="17"/>
        <v>Y = 0,000 * X + 39,313</v>
      </c>
      <c r="F205" s="17">
        <f t="shared" si="18"/>
        <v>39.2503901848102</v>
      </c>
      <c r="G205" s="42">
        <f t="shared" si="19"/>
        <v>39.233254891061961</v>
      </c>
    </row>
    <row r="206" spans="1:7">
      <c r="A206" s="17">
        <f>Data!A206</f>
        <v>57.532113368262578</v>
      </c>
      <c r="B206" s="18">
        <v>205</v>
      </c>
      <c r="C206" s="40">
        <f t="shared" si="15"/>
        <v>-8.8866506948192578E-2</v>
      </c>
      <c r="D206" s="17">
        <f t="shared" si="16"/>
        <v>58.300219781310588</v>
      </c>
      <c r="E206" s="41" t="str">
        <f t="shared" si="17"/>
        <v>Y = 0,000 * X + 39,313</v>
      </c>
      <c r="F206" s="17">
        <f t="shared" si="18"/>
        <v>39.2503901848102</v>
      </c>
      <c r="G206" s="42">
        <f t="shared" si="19"/>
        <v>39.232865452567687</v>
      </c>
    </row>
    <row r="207" spans="1:7">
      <c r="A207" s="17">
        <f>Data!A207</f>
        <v>48.52183963653949</v>
      </c>
      <c r="B207" s="18">
        <v>206</v>
      </c>
      <c r="C207" s="40">
        <f t="shared" si="15"/>
        <v>-3.5989150853248726E-2</v>
      </c>
      <c r="D207" s="17">
        <f t="shared" si="16"/>
        <v>45.856415313633804</v>
      </c>
      <c r="E207" s="41" t="str">
        <f t="shared" si="17"/>
        <v>Y = 0,000 * X + 39,313</v>
      </c>
      <c r="F207" s="17">
        <f t="shared" si="18"/>
        <v>39.2503901848102</v>
      </c>
      <c r="G207" s="42">
        <f t="shared" si="19"/>
        <v>39.232476014073406</v>
      </c>
    </row>
    <row r="208" spans="1:7">
      <c r="A208" s="17">
        <f>Data!A208</f>
        <v>35.298353742310752</v>
      </c>
      <c r="B208" s="18">
        <v>207</v>
      </c>
      <c r="C208" s="40">
        <f t="shared" si="15"/>
        <v>-4.0255481090364677E-3</v>
      </c>
      <c r="D208" s="17">
        <f t="shared" si="16"/>
        <v>38.32365960024778</v>
      </c>
      <c r="E208" s="41" t="str">
        <f t="shared" si="17"/>
        <v>Y = 0,000 * X + 39,313</v>
      </c>
      <c r="F208" s="17">
        <f t="shared" si="18"/>
        <v>39.2503901848102</v>
      </c>
      <c r="G208" s="42">
        <f t="shared" si="19"/>
        <v>39.232086575579132</v>
      </c>
    </row>
    <row r="209" spans="1:7">
      <c r="A209" s="17">
        <f>Data!A209</f>
        <v>51.20395099005119</v>
      </c>
      <c r="B209" s="18">
        <v>208</v>
      </c>
      <c r="C209" s="40">
        <f t="shared" si="15"/>
        <v>-1.1307997940818743E-2</v>
      </c>
      <c r="D209" s="17">
        <f t="shared" si="16"/>
        <v>40.0423177605484</v>
      </c>
      <c r="E209" s="41" t="str">
        <f t="shared" si="17"/>
        <v>Y = 0,000 * X + 39,313</v>
      </c>
      <c r="F209" s="17">
        <f t="shared" si="18"/>
        <v>39.2503901848102</v>
      </c>
      <c r="G209" s="42">
        <f t="shared" si="19"/>
        <v>39.231697137084851</v>
      </c>
    </row>
    <row r="210" spans="1:7">
      <c r="A210" s="17">
        <f>Data!A210</f>
        <v>33.924991176762767</v>
      </c>
      <c r="B210" s="18">
        <v>209</v>
      </c>
      <c r="C210" s="40">
        <f t="shared" si="15"/>
        <v>3.5778053631282662E-2</v>
      </c>
      <c r="D210" s="17">
        <f t="shared" si="16"/>
        <v>28.914314239008441</v>
      </c>
      <c r="E210" s="41" t="str">
        <f t="shared" si="17"/>
        <v>Y = 0,000 * X + 39,313</v>
      </c>
      <c r="F210" s="17">
        <f t="shared" si="18"/>
        <v>39.2503901848102</v>
      </c>
      <c r="G210" s="42">
        <f t="shared" si="19"/>
        <v>39.231307698590577</v>
      </c>
    </row>
    <row r="211" spans="1:7">
      <c r="A211" s="17">
        <f>Data!A211</f>
        <v>28.55410475961655</v>
      </c>
      <c r="B211" s="18">
        <v>210</v>
      </c>
      <c r="C211" s="40">
        <f t="shared" si="15"/>
        <v>2.6752677029390975E-2</v>
      </c>
      <c r="D211" s="17">
        <f t="shared" si="16"/>
        <v>31.050320034789468</v>
      </c>
      <c r="E211" s="41" t="str">
        <f t="shared" si="17"/>
        <v>Y = 0,000 * X + 39,313</v>
      </c>
      <c r="F211" s="17">
        <f t="shared" si="18"/>
        <v>39.2503901848102</v>
      </c>
      <c r="G211" s="42">
        <f t="shared" si="19"/>
        <v>39.230918260096296</v>
      </c>
    </row>
    <row r="212" spans="1:7">
      <c r="A212" s="17">
        <f>Data!A212</f>
        <v>46.524072828499939</v>
      </c>
      <c r="B212" s="18">
        <v>211</v>
      </c>
      <c r="C212" s="40">
        <f t="shared" si="15"/>
        <v>-4.4560823988590336E-3</v>
      </c>
      <c r="D212" s="17">
        <f t="shared" si="16"/>
        <v>38.446796019284719</v>
      </c>
      <c r="E212" s="41" t="str">
        <f t="shared" si="17"/>
        <v>Y = 0,000 * X + 39,313</v>
      </c>
      <c r="F212" s="17">
        <f t="shared" si="18"/>
        <v>39.2503901848102</v>
      </c>
      <c r="G212" s="42">
        <f t="shared" si="19"/>
        <v>39.230528821602014</v>
      </c>
    </row>
    <row r="213" spans="1:7">
      <c r="A213" s="17">
        <f>Data!A213</f>
        <v>39.33751651214439</v>
      </c>
      <c r="B213" s="18">
        <v>212</v>
      </c>
      <c r="C213" s="40">
        <f t="shared" si="15"/>
        <v>3.2052056043952656E-2</v>
      </c>
      <c r="D213" s="17">
        <f t="shared" si="16"/>
        <v>29.782197828857406</v>
      </c>
      <c r="E213" s="41" t="str">
        <f t="shared" si="17"/>
        <v>Y = 0,000 * X + 39,313</v>
      </c>
      <c r="F213" s="17">
        <f t="shared" si="18"/>
        <v>39.2503901848102</v>
      </c>
      <c r="G213" s="42">
        <f t="shared" si="19"/>
        <v>39.230139383107741</v>
      </c>
    </row>
    <row r="214" spans="1:7">
      <c r="A214" s="17">
        <f>Data!A214</f>
        <v>40.756539201896963</v>
      </c>
      <c r="B214" s="18">
        <v>213</v>
      </c>
      <c r="C214" s="40">
        <f t="shared" si="15"/>
        <v>4.3831356763592871E-2</v>
      </c>
      <c r="D214" s="17">
        <f t="shared" si="16"/>
        <v>26.982650691156252</v>
      </c>
      <c r="E214" s="41" t="str">
        <f t="shared" si="17"/>
        <v>Y = 0,000 * X + 39,313</v>
      </c>
      <c r="F214" s="17">
        <f t="shared" si="18"/>
        <v>39.2503901848102</v>
      </c>
      <c r="G214" s="42">
        <f t="shared" si="19"/>
        <v>39.229749944613459</v>
      </c>
    </row>
    <row r="215" spans="1:7">
      <c r="A215" s="17">
        <f>Data!A215</f>
        <v>30.160108373583498</v>
      </c>
      <c r="B215" s="18">
        <v>214</v>
      </c>
      <c r="C215" s="40">
        <f t="shared" si="15"/>
        <v>6.3821489736995765E-2</v>
      </c>
      <c r="D215" s="17">
        <f t="shared" si="16"/>
        <v>22.224999043486367</v>
      </c>
      <c r="E215" s="41" t="str">
        <f t="shared" si="17"/>
        <v>Y = 0,000 * X + 39,313</v>
      </c>
      <c r="F215" s="17">
        <f t="shared" si="18"/>
        <v>39.2503901848102</v>
      </c>
      <c r="G215" s="42">
        <f t="shared" si="19"/>
        <v>39.229360506119185</v>
      </c>
    </row>
    <row r="216" spans="1:7">
      <c r="A216" s="17">
        <f>Data!A216</f>
        <v>46.490093615375081</v>
      </c>
      <c r="B216" s="18">
        <v>215</v>
      </c>
      <c r="C216" s="40">
        <f t="shared" si="15"/>
        <v>3.6570587481662684E-2</v>
      </c>
      <c r="D216" s="17">
        <f t="shared" si="16"/>
        <v>28.719797414340746</v>
      </c>
      <c r="E216" s="41" t="str">
        <f t="shared" si="17"/>
        <v>Y = 0,000 * X + 39,313</v>
      </c>
      <c r="F216" s="17">
        <f t="shared" si="18"/>
        <v>39.2503901848102</v>
      </c>
      <c r="G216" s="42">
        <f t="shared" si="19"/>
        <v>39.228971067624904</v>
      </c>
    </row>
    <row r="217" spans="1:7">
      <c r="A217" s="17">
        <f>Data!A217</f>
        <v>41.809766218550344</v>
      </c>
      <c r="B217" s="18">
        <v>216</v>
      </c>
      <c r="C217" s="40">
        <f t="shared" si="15"/>
        <v>8.6524973494151072E-2</v>
      </c>
      <c r="D217" s="17">
        <f t="shared" si="16"/>
        <v>16.797350619360188</v>
      </c>
      <c r="E217" s="41" t="str">
        <f t="shared" si="17"/>
        <v>Y = 0,000 * X + 39,313</v>
      </c>
      <c r="F217" s="17">
        <f t="shared" si="18"/>
        <v>39.2503901848102</v>
      </c>
      <c r="G217" s="42">
        <f t="shared" si="19"/>
        <v>39.228581629130623</v>
      </c>
    </row>
    <row r="218" spans="1:7">
      <c r="A218" s="17">
        <f>Data!A218</f>
        <v>45.098688276055491</v>
      </c>
      <c r="B218" s="18">
        <v>217</v>
      </c>
      <c r="C218" s="40">
        <f t="shared" si="15"/>
        <v>0.12033792175326091</v>
      </c>
      <c r="D218" s="17">
        <f t="shared" si="16"/>
        <v>8.71605598543292</v>
      </c>
      <c r="E218" s="41" t="str">
        <f t="shared" si="17"/>
        <v>Y = 0,000 * X + 39,313</v>
      </c>
      <c r="F218" s="17">
        <f t="shared" si="18"/>
        <v>39.2503901848102</v>
      </c>
      <c r="G218" s="42">
        <f t="shared" si="19"/>
        <v>39.228192190636349</v>
      </c>
    </row>
    <row r="219" spans="1:7">
      <c r="A219" s="17">
        <f>Data!A219</f>
        <v>37.322415267013383</v>
      </c>
      <c r="B219" s="18">
        <v>218</v>
      </c>
      <c r="C219" s="40">
        <f t="shared" si="15"/>
        <v>0.17868623578828899</v>
      </c>
      <c r="D219" s="17">
        <f t="shared" si="16"/>
        <v>-5.2486405069504585</v>
      </c>
      <c r="E219" s="41" t="str">
        <f t="shared" si="17"/>
        <v>Y = 0,000 * X + 39,313</v>
      </c>
      <c r="F219" s="17">
        <f t="shared" si="18"/>
        <v>39.2503901848102</v>
      </c>
      <c r="G219" s="42">
        <f t="shared" si="19"/>
        <v>39.227802752142068</v>
      </c>
    </row>
    <row r="220" spans="1:7">
      <c r="A220" s="17">
        <f>Data!A220</f>
        <v>47.611665452392614</v>
      </c>
      <c r="B220" s="18">
        <v>219</v>
      </c>
      <c r="C220" s="40">
        <f t="shared" si="15"/>
        <v>0.20056601223254425</v>
      </c>
      <c r="D220" s="17">
        <f t="shared" si="16"/>
        <v>-10.492493594756965</v>
      </c>
      <c r="E220" s="41" t="str">
        <f t="shared" si="17"/>
        <v>Y = 0,000 * X + 39,313</v>
      </c>
      <c r="F220" s="17">
        <f t="shared" si="18"/>
        <v>39.2503901848102</v>
      </c>
      <c r="G220" s="42">
        <f t="shared" si="19"/>
        <v>39.227413313647794</v>
      </c>
    </row>
    <row r="221" spans="1:7">
      <c r="A221" s="17">
        <f>Data!A221</f>
        <v>23.761777224859298</v>
      </c>
      <c r="B221" s="18">
        <v>220</v>
      </c>
      <c r="C221" s="40">
        <f t="shared" si="15"/>
        <v>0.29205118880172098</v>
      </c>
      <c r="D221" s="17">
        <f t="shared" si="16"/>
        <v>-32.448935971359383</v>
      </c>
      <c r="E221" s="41" t="str">
        <f t="shared" si="17"/>
        <v>Y = 0,000 * X + 39,313</v>
      </c>
      <c r="F221" s="17">
        <f t="shared" si="18"/>
        <v>39.2503901848102</v>
      </c>
      <c r="G221" s="42">
        <f t="shared" si="19"/>
        <v>39.227023875153513</v>
      </c>
    </row>
    <row r="222" spans="1:7">
      <c r="A222" s="17">
        <f>Data!A222</f>
        <v>30.413038483213068</v>
      </c>
      <c r="B222" s="18">
        <v>221</v>
      </c>
      <c r="C222" s="40">
        <f t="shared" si="15"/>
        <v>0.23659913128337659</v>
      </c>
      <c r="D222" s="17">
        <f t="shared" si="16"/>
        <v>-19.121958147783957</v>
      </c>
      <c r="E222" s="41" t="str">
        <f t="shared" si="17"/>
        <v>Y = 0,000 * X + 39,313</v>
      </c>
      <c r="F222" s="17">
        <f t="shared" si="18"/>
        <v>39.2503901848102</v>
      </c>
      <c r="G222" s="42">
        <f t="shared" si="19"/>
        <v>39.226634436659232</v>
      </c>
    </row>
    <row r="223" spans="1:7">
      <c r="A223" s="17">
        <f>Data!A223</f>
        <v>37.745030115243594</v>
      </c>
      <c r="B223" s="18">
        <v>222</v>
      </c>
      <c r="C223" s="40">
        <f t="shared" si="15"/>
        <v>0.21625372697823469</v>
      </c>
      <c r="D223" s="17">
        <f t="shared" si="16"/>
        <v>-14.225497511679798</v>
      </c>
      <c r="E223" s="41" t="str">
        <f t="shared" si="17"/>
        <v>Y = 0,000 * X + 39,313</v>
      </c>
      <c r="F223" s="17">
        <f t="shared" si="18"/>
        <v>39.2503901848102</v>
      </c>
      <c r="G223" s="42">
        <f t="shared" si="19"/>
        <v>39.226244998164958</v>
      </c>
    </row>
    <row r="224" spans="1:7">
      <c r="A224" s="17">
        <f>Data!A224</f>
        <v>24.00279824801132</v>
      </c>
      <c r="B224" s="18">
        <v>223</v>
      </c>
      <c r="C224" s="40">
        <f t="shared" si="15"/>
        <v>0.24769976061121321</v>
      </c>
      <c r="D224" s="17">
        <f t="shared" si="16"/>
        <v>-21.803991617227624</v>
      </c>
      <c r="E224" s="41" t="str">
        <f t="shared" si="17"/>
        <v>Y = 0,000 * X + 39,313</v>
      </c>
      <c r="F224" s="17">
        <f t="shared" si="18"/>
        <v>39.2503901848102</v>
      </c>
      <c r="G224" s="42">
        <f t="shared" si="19"/>
        <v>39.225855559670677</v>
      </c>
    </row>
    <row r="225" spans="1:7">
      <c r="A225" s="17">
        <f>Data!A225</f>
        <v>46.679031538842573</v>
      </c>
      <c r="B225" s="18">
        <v>224</v>
      </c>
      <c r="C225" s="40">
        <f t="shared" si="15"/>
        <v>0.16709927555940474</v>
      </c>
      <c r="D225" s="17">
        <f t="shared" si="16"/>
        <v>-2.3524078913911808</v>
      </c>
      <c r="E225" s="41" t="str">
        <f t="shared" si="17"/>
        <v>Y = 0,000 * X + 39,313</v>
      </c>
      <c r="F225" s="17">
        <f t="shared" si="18"/>
        <v>39.2503901848102</v>
      </c>
      <c r="G225" s="42">
        <f t="shared" si="19"/>
        <v>39.225466121176403</v>
      </c>
    </row>
    <row r="226" spans="1:7">
      <c r="A226" s="17">
        <f>Data!A226</f>
        <v>14.472694650884119</v>
      </c>
      <c r="B226" s="18">
        <v>225</v>
      </c>
      <c r="C226" s="40">
        <f t="shared" si="15"/>
        <v>0.27418729129719333</v>
      </c>
      <c r="D226" s="17">
        <f t="shared" si="16"/>
        <v>-28.232011694690094</v>
      </c>
      <c r="E226" s="41" t="str">
        <f t="shared" si="17"/>
        <v>Y = 0,000 * X + 39,313</v>
      </c>
      <c r="F226" s="17">
        <f t="shared" si="18"/>
        <v>39.2503901848102</v>
      </c>
      <c r="G226" s="42">
        <f t="shared" si="19"/>
        <v>39.225076682682122</v>
      </c>
    </row>
    <row r="227" spans="1:7">
      <c r="A227" s="17">
        <f>Data!A227</f>
        <v>24.65506821687169</v>
      </c>
      <c r="B227" s="18">
        <v>226</v>
      </c>
      <c r="C227" s="40">
        <f t="shared" si="15"/>
        <v>8.4312949334250445E-2</v>
      </c>
      <c r="D227" s="17">
        <f t="shared" si="16"/>
        <v>17.717579060342093</v>
      </c>
      <c r="E227" s="41" t="str">
        <f t="shared" si="17"/>
        <v>Y = 0,000 * X + 39,313</v>
      </c>
      <c r="F227" s="17">
        <f t="shared" si="18"/>
        <v>39.2503901848102</v>
      </c>
      <c r="G227" s="42">
        <f t="shared" si="19"/>
        <v>39.224687244187848</v>
      </c>
    </row>
    <row r="228" spans="1:7">
      <c r="A228" s="17">
        <f>Data!A228</f>
        <v>29.12554426267776</v>
      </c>
      <c r="B228" s="18">
        <v>227</v>
      </c>
      <c r="C228" s="40">
        <f t="shared" si="15"/>
        <v>-4.7396152763695118E-2</v>
      </c>
      <c r="D228" s="17">
        <f t="shared" si="16"/>
        <v>49.635084802077557</v>
      </c>
      <c r="E228" s="41" t="str">
        <f t="shared" si="17"/>
        <v>Y = 0,000 * X + 39,313</v>
      </c>
      <c r="F228" s="17">
        <f t="shared" si="18"/>
        <v>39.2503901848102</v>
      </c>
      <c r="G228" s="42">
        <f t="shared" si="19"/>
        <v>39.224297805693567</v>
      </c>
    </row>
    <row r="229" spans="1:7">
      <c r="A229" s="17">
        <f>Data!A229</f>
        <v>19.662416014024487</v>
      </c>
      <c r="B229" s="18">
        <v>228</v>
      </c>
      <c r="C229" s="40">
        <f t="shared" si="15"/>
        <v>-0.16301607998157272</v>
      </c>
      <c r="D229" s="17">
        <f t="shared" si="16"/>
        <v>77.692187140282527</v>
      </c>
      <c r="E229" s="41" t="str">
        <f t="shared" si="17"/>
        <v>Y = 0,000 * X + 39,313</v>
      </c>
      <c r="F229" s="17">
        <f t="shared" si="18"/>
        <v>39.2503901848102</v>
      </c>
      <c r="G229" s="42">
        <f t="shared" si="19"/>
        <v>39.223908367199286</v>
      </c>
    </row>
    <row r="230" spans="1:7">
      <c r="A230" s="17">
        <f>Data!A230</f>
        <v>45.297393766712183</v>
      </c>
      <c r="B230" s="18">
        <v>229</v>
      </c>
      <c r="C230" s="40">
        <f t="shared" si="15"/>
        <v>-0.43395250713039685</v>
      </c>
      <c r="D230" s="17">
        <f t="shared" si="16"/>
        <v>143.52973893744678</v>
      </c>
      <c r="E230" s="41" t="str">
        <f t="shared" si="17"/>
        <v>Y = 0,000 * X + 39,313</v>
      </c>
      <c r="F230" s="17">
        <f t="shared" si="18"/>
        <v>39.2503901848102</v>
      </c>
      <c r="G230" s="42">
        <f t="shared" si="19"/>
        <v>39.223518928705012</v>
      </c>
    </row>
    <row r="231" spans="1:7">
      <c r="A231" s="17">
        <f>Data!A231</f>
        <v>46.523958490941965</v>
      </c>
      <c r="B231" s="18">
        <v>230</v>
      </c>
      <c r="C231" s="40">
        <f t="shared" si="15"/>
        <v>-0.41762709338573573</v>
      </c>
      <c r="D231" s="17">
        <f t="shared" si="16"/>
        <v>139.55722159291258</v>
      </c>
      <c r="E231" s="41" t="str">
        <f t="shared" si="17"/>
        <v>Y = 0,000 * X + 39,313</v>
      </c>
      <c r="F231" s="17">
        <f t="shared" si="18"/>
        <v>39.2503901848102</v>
      </c>
      <c r="G231" s="42">
        <f t="shared" si="19"/>
        <v>39.223129490210731</v>
      </c>
    </row>
    <row r="232" spans="1:7">
      <c r="A232" s="17">
        <f>Data!A232</f>
        <v>21.855395509598146</v>
      </c>
      <c r="B232" s="18">
        <v>231</v>
      </c>
      <c r="C232" s="40">
        <f t="shared" si="15"/>
        <v>-0.36992759270023162</v>
      </c>
      <c r="D232" s="17">
        <f t="shared" si="16"/>
        <v>127.93444325921141</v>
      </c>
      <c r="E232" s="41" t="str">
        <f t="shared" si="17"/>
        <v>Y = 0,000 * X + 39,313</v>
      </c>
      <c r="F232" s="17">
        <f t="shared" si="18"/>
        <v>39.2503901848102</v>
      </c>
      <c r="G232" s="42">
        <f t="shared" si="19"/>
        <v>39.222740051716457</v>
      </c>
    </row>
    <row r="233" spans="1:7">
      <c r="A233" s="17">
        <f>Data!A233</f>
        <v>52.770223937937388</v>
      </c>
      <c r="B233" s="18">
        <v>232</v>
      </c>
      <c r="C233" s="40">
        <f t="shared" si="15"/>
        <v>-0.73178327403110455</v>
      </c>
      <c r="D233" s="17">
        <f t="shared" si="16"/>
        <v>216.22722950394441</v>
      </c>
      <c r="E233" s="41" t="str">
        <f t="shared" si="17"/>
        <v>Y = 0,000 * X + 39,313</v>
      </c>
      <c r="F233" s="17">
        <f t="shared" si="18"/>
        <v>39.2503901848102</v>
      </c>
      <c r="G233" s="42">
        <f t="shared" si="19"/>
        <v>39.222350613222176</v>
      </c>
    </row>
    <row r="234" spans="1:7">
      <c r="A234" s="17">
        <f>Data!A234</f>
        <v>35.618015794131807</v>
      </c>
      <c r="B234" s="18">
        <v>233</v>
      </c>
      <c r="C234" s="40">
        <f t="shared" si="15"/>
        <v>-0.60792613659562944</v>
      </c>
      <c r="D234" s="17">
        <f t="shared" si="16"/>
        <v>185.96480225720998</v>
      </c>
      <c r="E234" s="41" t="str">
        <f t="shared" si="17"/>
        <v>Y = 0,000 * X + 39,313</v>
      </c>
      <c r="F234" s="17">
        <f t="shared" si="18"/>
        <v>39.2503901848102</v>
      </c>
      <c r="G234" s="42">
        <f t="shared" si="19"/>
        <v>39.221961174727895</v>
      </c>
    </row>
    <row r="235" spans="1:7">
      <c r="A235" s="17">
        <f>Data!A235</f>
        <v>57.866456763071938</v>
      </c>
      <c r="B235" s="18">
        <v>234</v>
      </c>
      <c r="C235" s="40">
        <f t="shared" si="15"/>
        <v>-0.79983782710217022</v>
      </c>
      <c r="D235" s="17">
        <f t="shared" si="16"/>
        <v>232.91919586781029</v>
      </c>
      <c r="E235" s="41" t="str">
        <f t="shared" si="17"/>
        <v>Y = 0,000 * X + 39,313</v>
      </c>
      <c r="F235" s="17">
        <f t="shared" si="18"/>
        <v>39.2503901848102</v>
      </c>
      <c r="G235" s="42">
        <f t="shared" si="19"/>
        <v>39.221571736233621</v>
      </c>
    </row>
    <row r="236" spans="1:7">
      <c r="A236" s="17">
        <f>Data!A236</f>
        <v>30.758509017485576</v>
      </c>
      <c r="B236" s="18">
        <v>235</v>
      </c>
      <c r="C236" s="40">
        <f t="shared" si="15"/>
        <v>-0.49710501617293373</v>
      </c>
      <c r="D236" s="17">
        <f t="shared" si="16"/>
        <v>158.74965719014736</v>
      </c>
      <c r="E236" s="41" t="str">
        <f t="shared" si="17"/>
        <v>Y = 0,000 * X + 39,313</v>
      </c>
      <c r="F236" s="17">
        <f t="shared" si="18"/>
        <v>39.2503901848102</v>
      </c>
      <c r="G236" s="42">
        <f t="shared" si="19"/>
        <v>39.22118229773934</v>
      </c>
    </row>
    <row r="237" spans="1:7">
      <c r="A237" s="17">
        <f>Data!A237</f>
        <v>62.112014075713816</v>
      </c>
      <c r="B237" s="18">
        <v>236</v>
      </c>
      <c r="C237" s="40">
        <f t="shared" si="15"/>
        <v>-0.81628985537357257</v>
      </c>
      <c r="D237" s="17">
        <f t="shared" si="16"/>
        <v>237.05633774070409</v>
      </c>
      <c r="E237" s="41" t="str">
        <f t="shared" si="17"/>
        <v>Y = 0,000 * X + 39,313</v>
      </c>
      <c r="F237" s="17">
        <f t="shared" si="18"/>
        <v>39.2503901848102</v>
      </c>
      <c r="G237" s="42">
        <f t="shared" si="19"/>
        <v>39.220792859245066</v>
      </c>
    </row>
    <row r="238" spans="1:7">
      <c r="A238" s="17">
        <f>Data!A238</f>
        <v>37.23220782876642</v>
      </c>
      <c r="B238" s="18">
        <v>237</v>
      </c>
      <c r="C238" s="40">
        <f t="shared" si="15"/>
        <v>-0.23277066186237963</v>
      </c>
      <c r="D238" s="17">
        <f t="shared" si="16"/>
        <v>93.705122534787691</v>
      </c>
      <c r="E238" s="41" t="str">
        <f t="shared" si="17"/>
        <v>Y = 0,000 * X + 39,313</v>
      </c>
      <c r="F238" s="17">
        <f t="shared" si="18"/>
        <v>39.2503901848102</v>
      </c>
      <c r="G238" s="42">
        <f t="shared" si="19"/>
        <v>39.220403420750785</v>
      </c>
    </row>
    <row r="239" spans="1:7">
      <c r="A239" s="17">
        <f>Data!A239</f>
        <v>52.953062672406247</v>
      </c>
      <c r="B239" s="18">
        <v>238</v>
      </c>
      <c r="C239" s="40">
        <f t="shared" si="15"/>
        <v>-0.28301173280996805</v>
      </c>
      <c r="D239" s="17">
        <f t="shared" si="16"/>
        <v>106.06442598789445</v>
      </c>
      <c r="E239" s="41" t="str">
        <f t="shared" si="17"/>
        <v>Y = 0,000 * X + 39,313</v>
      </c>
      <c r="F239" s="17">
        <f t="shared" si="18"/>
        <v>39.2503901848102</v>
      </c>
      <c r="G239" s="42">
        <f t="shared" si="19"/>
        <v>39.220013982256511</v>
      </c>
    </row>
    <row r="240" spans="1:7">
      <c r="A240" s="17">
        <f>Data!A240</f>
        <v>29.297233985628644</v>
      </c>
      <c r="B240" s="18">
        <v>239</v>
      </c>
      <c r="C240" s="40">
        <f t="shared" si="15"/>
        <v>0.36450777143022317</v>
      </c>
      <c r="D240" s="17">
        <f t="shared" si="16"/>
        <v>-53.441211889939325</v>
      </c>
      <c r="E240" s="41" t="str">
        <f t="shared" si="17"/>
        <v>Y = 0,000 * X + 39,313</v>
      </c>
      <c r="F240" s="17">
        <f t="shared" si="18"/>
        <v>39.2503901848102</v>
      </c>
      <c r="G240" s="42">
        <f t="shared" si="19"/>
        <v>39.21962454376223</v>
      </c>
    </row>
    <row r="241" spans="1:7">
      <c r="A241" s="17">
        <f>Data!A241</f>
        <v>41.921941291851752</v>
      </c>
      <c r="B241" s="18">
        <v>240</v>
      </c>
      <c r="C241" s="40">
        <f t="shared" si="15"/>
        <v>0.12565805345265754</v>
      </c>
      <c r="D241" s="17">
        <f t="shared" si="16"/>
        <v>5.4750518778601922</v>
      </c>
      <c r="E241" s="41" t="str">
        <f t="shared" si="17"/>
        <v>Y = 0,000 * X + 39,313</v>
      </c>
      <c r="F241" s="17">
        <f t="shared" si="18"/>
        <v>39.2503901848102</v>
      </c>
      <c r="G241" s="42">
        <f t="shared" si="19"/>
        <v>39.219235105267948</v>
      </c>
    </row>
    <row r="242" spans="1:7">
      <c r="A242" s="17">
        <f>Data!A242</f>
        <v>30.193112664015587</v>
      </c>
      <c r="B242" s="18">
        <v>241</v>
      </c>
      <c r="C242" s="40">
        <f t="shared" si="15"/>
        <v>0.54492182580957416</v>
      </c>
      <c r="D242" s="17">
        <f t="shared" si="16"/>
        <v>-98.083099894298215</v>
      </c>
      <c r="E242" s="41" t="str">
        <f t="shared" si="17"/>
        <v>Y = 0,000 * X + 39,313</v>
      </c>
      <c r="F242" s="17">
        <f t="shared" si="18"/>
        <v>39.2503901848102</v>
      </c>
      <c r="G242" s="42">
        <f t="shared" si="19"/>
        <v>39.218845666773674</v>
      </c>
    </row>
    <row r="243" spans="1:7">
      <c r="A243" s="17">
        <f>Data!A243</f>
        <v>38.521942259457518</v>
      </c>
      <c r="B243" s="18">
        <v>242</v>
      </c>
      <c r="C243" s="40">
        <f t="shared" si="15"/>
        <v>0.29075953732677629</v>
      </c>
      <c r="D243" s="17">
        <f t="shared" si="16"/>
        <v>-35.220293876219529</v>
      </c>
      <c r="E243" s="41" t="str">
        <f t="shared" si="17"/>
        <v>Y = 0,000 * X + 39,313</v>
      </c>
      <c r="F243" s="17">
        <f t="shared" si="18"/>
        <v>39.2503901848102</v>
      </c>
      <c r="G243" s="42">
        <f t="shared" si="19"/>
        <v>39.218456228279393</v>
      </c>
    </row>
    <row r="244" spans="1:7">
      <c r="A244" s="17">
        <f>Data!A244</f>
        <v>24.334547975118934</v>
      </c>
      <c r="B244" s="18">
        <v>243</v>
      </c>
      <c r="C244" s="40">
        <f t="shared" si="15"/>
        <v>0.6527339768907614</v>
      </c>
      <c r="D244" s="17">
        <f t="shared" si="16"/>
        <v>-124.86929674156653</v>
      </c>
      <c r="E244" s="41" t="str">
        <f t="shared" si="17"/>
        <v>Y = 0,000 * X + 39,313</v>
      </c>
      <c r="F244" s="17">
        <f t="shared" si="18"/>
        <v>39.2503901848102</v>
      </c>
      <c r="G244" s="42">
        <f t="shared" si="19"/>
        <v>39.218066789785119</v>
      </c>
    </row>
    <row r="245" spans="1:7">
      <c r="A245" s="17">
        <f>Data!A245</f>
        <v>38.179017330393393</v>
      </c>
      <c r="B245" s="18">
        <v>244</v>
      </c>
      <c r="C245" s="40">
        <f t="shared" si="15"/>
        <v>-0.69162483279060594</v>
      </c>
      <c r="D245" s="17">
        <f t="shared" si="16"/>
        <v>208.53168805941257</v>
      </c>
      <c r="E245" s="41" t="str">
        <f t="shared" si="17"/>
        <v>Y = 0,000 * X + 39,313</v>
      </c>
      <c r="F245" s="17">
        <f t="shared" si="18"/>
        <v>39.2503901848102</v>
      </c>
      <c r="G245" s="42">
        <f t="shared" si="19"/>
        <v>39.217677351290838</v>
      </c>
    </row>
    <row r="246" spans="1:7">
      <c r="A246" s="17">
        <f>Data!A246</f>
        <v>41.226727983278245</v>
      </c>
      <c r="B246" s="18">
        <v>245</v>
      </c>
      <c r="C246" s="40">
        <f t="shared" si="15"/>
        <v>-1.010867138412874</v>
      </c>
      <c r="D246" s="17">
        <f t="shared" si="16"/>
        <v>287.81019395560918</v>
      </c>
      <c r="E246" s="41" t="str">
        <f t="shared" si="17"/>
        <v>Y = 0,000 * X + 39,313</v>
      </c>
      <c r="F246" s="17">
        <f t="shared" si="18"/>
        <v>39.2503901848102</v>
      </c>
      <c r="G246" s="42">
        <f t="shared" si="19"/>
        <v>39.217287912796557</v>
      </c>
    </row>
    <row r="247" spans="1:7">
      <c r="A247" s="17">
        <f>Data!A247</f>
        <v>35.010429320801656</v>
      </c>
      <c r="B247" s="18">
        <v>246</v>
      </c>
      <c r="C247" s="40">
        <f t="shared" si="15"/>
        <v>-0.68717225676590699</v>
      </c>
      <c r="D247" s="17">
        <f t="shared" si="16"/>
        <v>207.31806671939668</v>
      </c>
      <c r="E247" s="41" t="str">
        <f t="shared" si="17"/>
        <v>Y = 0,000 * X + 39,313</v>
      </c>
      <c r="F247" s="17">
        <f t="shared" si="18"/>
        <v>39.2503901848102</v>
      </c>
      <c r="G247" s="42">
        <f t="shared" si="19"/>
        <v>39.216898474302283</v>
      </c>
    </row>
    <row r="248" spans="1:7">
      <c r="A248" s="17">
        <f>Data!A248</f>
        <v>34.853405202120335</v>
      </c>
      <c r="B248" s="18">
        <v>247</v>
      </c>
      <c r="C248" s="40">
        <f t="shared" si="15"/>
        <v>-2.3188033738568636</v>
      </c>
      <c r="D248" s="17">
        <f t="shared" si="16"/>
        <v>613.59421487504494</v>
      </c>
      <c r="E248" s="41" t="str">
        <f t="shared" si="17"/>
        <v>Y = 0,000 * X + 39,313</v>
      </c>
      <c r="F248" s="17">
        <f t="shared" si="18"/>
        <v>39.2503901848102</v>
      </c>
      <c r="G248" s="42">
        <f t="shared" si="19"/>
        <v>39.216509035808002</v>
      </c>
    </row>
    <row r="249" spans="1:7">
      <c r="A249" s="17">
        <f>Data!A249</f>
        <v>49.168967850674946</v>
      </c>
      <c r="B249" s="18">
        <v>248</v>
      </c>
      <c r="C249" s="40">
        <f t="shared" si="15"/>
        <v>-8.3151797041361029</v>
      </c>
      <c r="D249" s="17">
        <f t="shared" si="16"/>
        <v>2108.6907132246683</v>
      </c>
      <c r="E249" s="41" t="str">
        <f t="shared" si="17"/>
        <v>Y = 0,000 * X + 39,313</v>
      </c>
      <c r="F249" s="17">
        <f t="shared" si="18"/>
        <v>39.2503901848102</v>
      </c>
      <c r="G249" s="42">
        <f t="shared" si="19"/>
        <v>39.216119597313728</v>
      </c>
    </row>
    <row r="250" spans="1:7">
      <c r="A250" s="17">
        <f>Data!A250</f>
        <v>32.925324391259096</v>
      </c>
      <c r="B250" s="18">
        <v>249</v>
      </c>
      <c r="C250" s="40">
        <f t="shared" si="15"/>
        <v>-0.38671594885635585</v>
      </c>
      <c r="D250" s="17">
        <f t="shared" si="16"/>
        <v>129.21759565649171</v>
      </c>
      <c r="E250" s="41" t="str">
        <f t="shared" si="17"/>
        <v>Y = 0,000 * X + 39,313</v>
      </c>
      <c r="F250" s="17">
        <f t="shared" si="18"/>
        <v>39.2503901848102</v>
      </c>
      <c r="G250" s="42">
        <f t="shared" si="19"/>
        <v>39.215730158819447</v>
      </c>
    </row>
    <row r="251" spans="1:7">
      <c r="A251" s="19">
        <f>Data!A251</f>
        <v>32.53860844240274</v>
      </c>
      <c r="B251" s="20">
        <v>250</v>
      </c>
      <c r="C251" s="43" t="e">
        <f t="shared" si="15"/>
        <v>#DIV/0!</v>
      </c>
      <c r="D251" s="19" t="e">
        <f t="shared" si="16"/>
        <v>#DIV/0!</v>
      </c>
      <c r="E251" s="44" t="str">
        <f t="shared" si="17"/>
        <v>Y = 0,000 * X + 39,313</v>
      </c>
      <c r="F251" s="19">
        <f t="shared" si="18"/>
        <v>39.2503901848102</v>
      </c>
      <c r="G251" s="45">
        <f t="shared" si="19"/>
        <v>39.215340720325166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2025-12-04T07:55:25Z</dcterms:created>
  <dcterms:modified xsi:type="dcterms:W3CDTF">2026-04-14T08:28:18Z</dcterms:modified>
  <cp:category/>
  <cp:contentStatus/>
</cp:coreProperties>
</file>